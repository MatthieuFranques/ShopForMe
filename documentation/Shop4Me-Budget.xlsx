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saraj\Documents\T-ESP-901\"/>
    </mc:Choice>
  </mc:AlternateContent>
  <xr:revisionPtr revIDLastSave="0" documentId="13_ncr:1_{C83F2279-EEA4-4289-9713-E5C6D2C8371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udget Shop4M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CcS2gFILVHN7vNcLFfsk7FmHUDGIqpPzVrxbK4njvoQ="/>
    </ext>
  </extLst>
</workbook>
</file>

<file path=xl/calcChain.xml><?xml version="1.0" encoding="utf-8"?>
<calcChain xmlns="http://schemas.openxmlformats.org/spreadsheetml/2006/main">
  <c r="J7" i="1" l="1"/>
  <c r="H7" i="1"/>
  <c r="F7" i="1"/>
  <c r="D7" i="1"/>
  <c r="I14" i="1"/>
  <c r="G14" i="1"/>
  <c r="E14" i="1"/>
  <c r="I17" i="1"/>
  <c r="G17" i="1"/>
  <c r="E17" i="1"/>
  <c r="F9" i="1"/>
  <c r="J9" i="1"/>
  <c r="H9" i="1"/>
  <c r="I7" i="1"/>
  <c r="I18" i="1" s="1"/>
  <c r="I19" i="1" s="1"/>
  <c r="G7" i="1"/>
  <c r="G18" i="1" s="1"/>
  <c r="G19" i="1" s="1"/>
  <c r="E7" i="1"/>
  <c r="E18" i="1" s="1"/>
  <c r="E19" i="1" s="1"/>
  <c r="C24" i="1"/>
  <c r="C18" i="1"/>
  <c r="C19" i="1" s="1"/>
  <c r="C25" i="1" s="1"/>
  <c r="G24" i="1" l="1"/>
  <c r="I25" i="1"/>
  <c r="E24" i="1"/>
  <c r="I24" i="1"/>
  <c r="E25" i="1"/>
  <c r="G25" i="1"/>
  <c r="C28" i="1"/>
  <c r="I28" i="1" l="1"/>
  <c r="E28" i="1"/>
  <c r="G28" i="1"/>
</calcChain>
</file>

<file path=xl/sharedStrings.xml><?xml version="1.0" encoding="utf-8"?>
<sst xmlns="http://schemas.openxmlformats.org/spreadsheetml/2006/main" count="56" uniqueCount="29">
  <si>
    <t>Quantité</t>
  </si>
  <si>
    <t>Total (€)</t>
  </si>
  <si>
    <t>Valeurs de référence (1 magasin)</t>
  </si>
  <si>
    <t>BUDGET - Identification des coûts et des bénéfices associés à l'application mobile Shop4Me</t>
  </si>
  <si>
    <t>VM (hébergement backend + Docker)</t>
  </si>
  <si>
    <t>Budget mensuel</t>
  </si>
  <si>
    <t>Budget initial</t>
  </si>
  <si>
    <t>Bénéfice(s) perçu(s) par l'équipe Shop4Me</t>
  </si>
  <si>
    <t>Coût(s) pour l'équipe Shop4Me</t>
  </si>
  <si>
    <t>Maintenance</t>
  </si>
  <si>
    <t>Budget total (pour X mois)</t>
  </si>
  <si>
    <t>Coût(s) totaux pour l'équipe Shop4Me</t>
  </si>
  <si>
    <t>TOTAL (€)</t>
  </si>
  <si>
    <t xml:space="preserve">NOMBRE DE MOIS </t>
  </si>
  <si>
    <t>Mise en service de l'application (configuration initiale)</t>
  </si>
  <si>
    <t>Achat de cartes ESP-32 (tags)</t>
  </si>
  <si>
    <t>Prix d'une licence pour un tag (€)</t>
  </si>
  <si>
    <t>Prix d'un tag (€)</t>
  </si>
  <si>
    <t>Retour sur investissement</t>
  </si>
  <si>
    <t>Bénéfice(s) totaux perçu(s) par l'équipe Shop4Me</t>
  </si>
  <si>
    <t>Bénéfice(s) totaux / Coût(s) totaux</t>
  </si>
  <si>
    <t>Abonnement à l'application (mises à jour, support)</t>
  </si>
  <si>
    <t>Total des licences</t>
  </si>
  <si>
    <t>Grande échelle (200 magasins)</t>
  </si>
  <si>
    <t>Petite échelle (10 magasins)</t>
  </si>
  <si>
    <t>Moyenne échelle (100 magasins)</t>
  </si>
  <si>
    <t>Chiffrage basé sur une moyenne de 100 utilisateurs par magasin* et par jour</t>
  </si>
  <si>
    <t>* on ne considère qu'une seule enseigne (Leclerc par exemple)</t>
  </si>
  <si>
    <t>Prix de la licence d'un tag en fonction du nombre total de tags (sur l'ensemble des magasins équipés)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</si>
</sst>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theme="1"/>
      <name val="Calibri"/>
      <scheme val="minor"/>
    </font>
    <font>
      <sz val="12"/>
      <color theme="1"/>
      <name val="Arial"/>
    </font>
    <font>
      <b/>
      <sz val="21"/>
      <color rgb="FF595959"/>
      <name val="&quot;docs-Century Gothic&quot;"/>
    </font>
    <font>
      <b/>
      <sz val="10"/>
      <color theme="0"/>
      <name val="Century Gothic"/>
      <family val="2"/>
    </font>
    <font>
      <b/>
      <sz val="9"/>
      <color theme="0"/>
      <name val="Century Gothic"/>
      <family val="2"/>
    </font>
    <font>
      <b/>
      <sz val="8"/>
      <color theme="0"/>
      <name val="Century Gothic"/>
      <family val="2"/>
    </font>
    <font>
      <b/>
      <sz val="18"/>
      <color theme="4" tint="-0.249977111117893"/>
      <name val="Century Gothic"/>
      <family val="2"/>
    </font>
    <font>
      <sz val="9"/>
      <color theme="1"/>
      <name val="Century Gothic"/>
      <family val="2"/>
    </font>
    <font>
      <b/>
      <sz val="12"/>
      <color theme="1"/>
      <name val="Century Gothic"/>
      <family val="2"/>
    </font>
    <font>
      <b/>
      <sz val="9"/>
      <color theme="1"/>
      <name val="Century Gothic"/>
      <family val="2"/>
    </font>
    <font>
      <sz val="12"/>
      <color theme="1"/>
      <name val="Century Gothic"/>
      <family val="2"/>
    </font>
    <font>
      <i/>
      <sz val="9"/>
      <color theme="1"/>
      <name val="Century Gothic"/>
      <family val="2"/>
    </font>
    <font>
      <b/>
      <sz val="21"/>
      <color rgb="FF595959"/>
      <name val="Century Gothic"/>
      <family val="2"/>
    </font>
    <font>
      <sz val="10"/>
      <color theme="1"/>
      <name val="Century Gothic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 tint="-0.249977111117893"/>
        <bgColor rgb="FF333F4F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rgb="FF222A35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theme="3" tint="0.499984740745262"/>
      </left>
      <right style="thin">
        <color theme="3" tint="0.499984740745262"/>
      </right>
      <top style="thin">
        <color theme="3" tint="0.499984740745262"/>
      </top>
      <bottom style="thin">
        <color theme="3" tint="0.499984740745262"/>
      </bottom>
      <diagonal/>
    </border>
    <border>
      <left style="thin">
        <color theme="3" tint="0.499984740745262"/>
      </left>
      <right/>
      <top style="thin">
        <color theme="3" tint="0.499984740745262"/>
      </top>
      <bottom style="thin">
        <color theme="3" tint="0.499984740745262"/>
      </bottom>
      <diagonal/>
    </border>
    <border>
      <left/>
      <right/>
      <top style="thin">
        <color theme="3" tint="0.499984740745262"/>
      </top>
      <bottom style="thin">
        <color theme="3" tint="0.499984740745262"/>
      </bottom>
      <diagonal/>
    </border>
    <border>
      <left/>
      <right style="thin">
        <color theme="3" tint="0.499984740745262"/>
      </right>
      <top style="thin">
        <color theme="3" tint="0.499984740745262"/>
      </top>
      <bottom style="thin">
        <color theme="3" tint="0.499984740745262"/>
      </bottom>
      <diagonal/>
    </border>
    <border>
      <left style="thin">
        <color theme="3" tint="0.499984740745262"/>
      </left>
      <right style="medium">
        <color theme="1"/>
      </right>
      <top style="thin">
        <color theme="3" tint="0.499984740745262"/>
      </top>
      <bottom style="thin">
        <color theme="3" tint="0.499984740745262"/>
      </bottom>
      <diagonal/>
    </border>
    <border>
      <left/>
      <right style="medium">
        <color theme="1"/>
      </right>
      <top style="thin">
        <color theme="3" tint="0.499984740745262"/>
      </top>
      <bottom style="thin">
        <color theme="3" tint="0.499984740745262"/>
      </bottom>
      <diagonal/>
    </border>
    <border>
      <left style="medium">
        <color theme="1"/>
      </left>
      <right style="thin">
        <color theme="3" tint="0.499984740745262"/>
      </right>
      <top style="thin">
        <color theme="3" tint="0.499984740745262"/>
      </top>
      <bottom style="thin">
        <color theme="3" tint="0.499984740745262"/>
      </bottom>
      <diagonal/>
    </border>
    <border>
      <left style="medium">
        <color theme="1"/>
      </left>
      <right/>
      <top style="thin">
        <color theme="3" tint="0.499984740745262"/>
      </top>
      <bottom style="thin">
        <color theme="3" tint="0.499984740745262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10" fillId="0" borderId="0" xfId="0" applyFont="1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12" borderId="1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left" vertical="center" wrapText="1"/>
    </xf>
    <xf numFmtId="0" fontId="7" fillId="0" borderId="4" xfId="0" applyFont="1" applyBorder="1"/>
    <xf numFmtId="3" fontId="7" fillId="0" borderId="5" xfId="0" applyNumberFormat="1" applyFont="1" applyBorder="1" applyAlignment="1">
      <alignment horizontal="center" vertical="center"/>
    </xf>
    <xf numFmtId="3" fontId="7" fillId="7" borderId="4" xfId="0" applyNumberFormat="1" applyFont="1" applyFill="1" applyBorder="1" applyAlignment="1">
      <alignment horizontal="center" vertical="center"/>
    </xf>
    <xf numFmtId="3" fontId="7" fillId="0" borderId="2" xfId="0" applyNumberFormat="1" applyFont="1" applyBorder="1" applyAlignment="1">
      <alignment horizontal="center" vertical="center"/>
    </xf>
    <xf numFmtId="3" fontId="7" fillId="7" borderId="7" xfId="0" applyNumberFormat="1" applyFont="1" applyFill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 wrapText="1"/>
    </xf>
    <xf numFmtId="3" fontId="7" fillId="0" borderId="4" xfId="0" applyNumberFormat="1" applyFont="1" applyBorder="1" applyAlignment="1">
      <alignment horizontal="center" vertical="center"/>
    </xf>
    <xf numFmtId="3" fontId="7" fillId="0" borderId="7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13" fillId="0" borderId="0" xfId="0" applyFont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3" fillId="6" borderId="7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9" fillId="11" borderId="1" xfId="0" applyFont="1" applyFill="1" applyBorder="1" applyAlignment="1">
      <alignment horizontal="left" vertical="center"/>
    </xf>
    <xf numFmtId="0" fontId="3" fillId="6" borderId="4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4" fontId="7" fillId="0" borderId="8" xfId="0" applyNumberFormat="1" applyFont="1" applyBorder="1" applyAlignment="1">
      <alignment horizontal="center" vertical="center"/>
    </xf>
    <xf numFmtId="4" fontId="7" fillId="0" borderId="4" xfId="0" applyNumberFormat="1" applyFont="1" applyBorder="1" applyAlignment="1">
      <alignment horizontal="center" vertical="center"/>
    </xf>
    <xf numFmtId="3" fontId="8" fillId="10" borderId="1" xfId="0" applyNumberFormat="1" applyFont="1" applyFill="1" applyBorder="1" applyAlignment="1">
      <alignment horizontal="center" vertical="center"/>
    </xf>
    <xf numFmtId="3" fontId="8" fillId="10" borderId="5" xfId="0" applyNumberFormat="1" applyFont="1" applyFill="1" applyBorder="1" applyAlignment="1">
      <alignment horizontal="center" vertical="center"/>
    </xf>
    <xf numFmtId="3" fontId="8" fillId="10" borderId="4" xfId="0" applyNumberFormat="1" applyFont="1" applyFill="1" applyBorder="1" applyAlignment="1">
      <alignment horizontal="center" vertical="center"/>
    </xf>
    <xf numFmtId="3" fontId="8" fillId="10" borderId="2" xfId="0" applyNumberFormat="1" applyFont="1" applyFill="1" applyBorder="1" applyAlignment="1">
      <alignment horizontal="center" vertical="center"/>
    </xf>
    <xf numFmtId="3" fontId="8" fillId="10" borderId="7" xfId="0" applyNumberFormat="1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3" fontId="7" fillId="0" borderId="8" xfId="0" applyNumberFormat="1" applyFont="1" applyBorder="1" applyAlignment="1">
      <alignment horizontal="center" vertical="center"/>
    </xf>
    <xf numFmtId="3" fontId="7" fillId="0" borderId="6" xfId="0" applyNumberFormat="1" applyFont="1" applyBorder="1" applyAlignment="1">
      <alignment horizontal="center" vertical="center"/>
    </xf>
    <xf numFmtId="3" fontId="7" fillId="0" borderId="3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center" vertical="center"/>
    </xf>
    <xf numFmtId="4" fontId="11" fillId="0" borderId="2" xfId="0" applyNumberFormat="1" applyFont="1" applyBorder="1" applyAlignment="1">
      <alignment horizontal="center" vertical="center"/>
    </xf>
    <xf numFmtId="3" fontId="7" fillId="0" borderId="4" xfId="0" applyNumberFormat="1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2" fontId="8" fillId="14" borderId="1" xfId="0" applyNumberFormat="1" applyFont="1" applyFill="1" applyBorder="1" applyAlignment="1">
      <alignment horizontal="center" vertical="center"/>
    </xf>
    <xf numFmtId="2" fontId="8" fillId="14" borderId="5" xfId="0" applyNumberFormat="1" applyFont="1" applyFill="1" applyBorder="1" applyAlignment="1">
      <alignment horizontal="center" vertical="center"/>
    </xf>
    <xf numFmtId="2" fontId="8" fillId="14" borderId="4" xfId="0" applyNumberFormat="1" applyFont="1" applyFill="1" applyBorder="1" applyAlignment="1">
      <alignment horizontal="center" vertical="center"/>
    </xf>
    <xf numFmtId="2" fontId="8" fillId="14" borderId="2" xfId="0" applyNumberFormat="1" applyFont="1" applyFill="1" applyBorder="1" applyAlignment="1">
      <alignment horizontal="center" vertical="center"/>
    </xf>
    <xf numFmtId="2" fontId="8" fillId="14" borderId="7" xfId="0" applyNumberFormat="1" applyFont="1" applyFill="1" applyBorder="1" applyAlignment="1">
      <alignment horizontal="center" vertical="center"/>
    </xf>
    <xf numFmtId="4" fontId="7" fillId="0" borderId="2" xfId="0" applyNumberFormat="1" applyFont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3" fontId="7" fillId="0" borderId="2" xfId="0" applyNumberFormat="1" applyFont="1" applyBorder="1" applyAlignment="1">
      <alignment horizontal="center" vertical="center"/>
    </xf>
    <xf numFmtId="4" fontId="11" fillId="0" borderId="6" xfId="0" applyNumberFormat="1" applyFont="1" applyBorder="1" applyAlignment="1">
      <alignment horizontal="center" vertical="center"/>
    </xf>
    <xf numFmtId="4" fontId="7" fillId="0" borderId="6" xfId="0" applyNumberFormat="1" applyFont="1" applyBorder="1" applyAlignment="1">
      <alignment horizontal="center" vertical="center"/>
    </xf>
    <xf numFmtId="4" fontId="11" fillId="0" borderId="8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F6000"/>
  </sheetPr>
  <dimension ref="A1:P958"/>
  <sheetViews>
    <sheetView showGridLines="0" tabSelected="1" zoomScale="85" zoomScaleNormal="85" workbookViewId="0">
      <pane ySplit="1" topLeftCell="A10" activePane="bottomLeft" state="frozen"/>
      <selection pane="bottomLeft" activeCell="E7" sqref="E7"/>
    </sheetView>
  </sheetViews>
  <sheetFormatPr baseColWidth="10" defaultColWidth="11.25" defaultRowHeight="15" customHeight="1"/>
  <cols>
    <col min="1" max="1" width="3.4140625" customWidth="1"/>
    <col min="2" max="2" width="47.1640625" customWidth="1"/>
    <col min="3" max="3" width="16" customWidth="1"/>
    <col min="4" max="4" width="16.1640625" customWidth="1"/>
    <col min="5" max="5" width="15.5" customWidth="1"/>
    <col min="6" max="6" width="15.33203125" customWidth="1"/>
    <col min="7" max="7" width="14.1640625" customWidth="1"/>
    <col min="8" max="8" width="14.58203125" customWidth="1"/>
    <col min="9" max="9" width="14.33203125" customWidth="1"/>
    <col min="10" max="10" width="13.75" customWidth="1"/>
    <col min="11" max="11" width="3" customWidth="1"/>
    <col min="12" max="14" width="10.75" customWidth="1"/>
    <col min="15" max="15" width="9.08203125" customWidth="1"/>
    <col min="16" max="16" width="10.75" customWidth="1"/>
  </cols>
  <sheetData>
    <row r="1" spans="1:16" ht="49.5" customHeight="1">
      <c r="A1" s="1"/>
      <c r="B1" s="34" t="s">
        <v>3</v>
      </c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35" customHeight="1">
      <c r="A2" s="1"/>
      <c r="B2" s="36" t="s">
        <v>26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14"/>
      <c r="N2" s="14"/>
      <c r="O2" s="14"/>
      <c r="P2" s="1"/>
    </row>
    <row r="3" spans="1:16" ht="34" customHeight="1">
      <c r="A3" s="1"/>
      <c r="B3" s="35" t="s">
        <v>27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14"/>
      <c r="N3" s="14"/>
      <c r="O3" s="14"/>
      <c r="P3" s="1"/>
    </row>
    <row r="4" spans="1:16" ht="35.5" customHeight="1">
      <c r="B4" s="41" t="s">
        <v>6</v>
      </c>
      <c r="C4" s="39" t="s">
        <v>2</v>
      </c>
      <c r="D4" s="40"/>
      <c r="E4" s="44" t="s">
        <v>23</v>
      </c>
      <c r="F4" s="45"/>
      <c r="G4" s="37" t="s">
        <v>25</v>
      </c>
      <c r="H4" s="38"/>
      <c r="I4" s="44" t="s">
        <v>24</v>
      </c>
      <c r="J4" s="46"/>
      <c r="K4" s="14"/>
      <c r="L4" s="14"/>
      <c r="M4" s="14"/>
      <c r="N4" s="14"/>
      <c r="O4" s="14"/>
      <c r="P4" s="1"/>
    </row>
    <row r="5" spans="1:16" ht="22.5" customHeight="1">
      <c r="B5" s="42"/>
      <c r="C5" s="4" t="s">
        <v>0</v>
      </c>
      <c r="D5" s="18" t="s">
        <v>1</v>
      </c>
      <c r="E5" s="12" t="s">
        <v>0</v>
      </c>
      <c r="F5" s="19" t="s">
        <v>1</v>
      </c>
      <c r="G5" s="20" t="s">
        <v>0</v>
      </c>
      <c r="H5" s="18" t="s">
        <v>1</v>
      </c>
      <c r="I5" s="12" t="s">
        <v>0</v>
      </c>
      <c r="J5" s="5" t="s">
        <v>1</v>
      </c>
      <c r="K5" s="3"/>
      <c r="L5" s="43" t="s">
        <v>17</v>
      </c>
      <c r="M5" s="43"/>
      <c r="N5" s="43"/>
      <c r="O5" s="17">
        <v>50</v>
      </c>
      <c r="P5" s="1"/>
    </row>
    <row r="6" spans="1:16" ht="19.5" customHeight="1">
      <c r="B6" s="9" t="s">
        <v>8</v>
      </c>
      <c r="C6" s="62"/>
      <c r="D6" s="63"/>
      <c r="E6" s="63"/>
      <c r="F6" s="63"/>
      <c r="G6" s="63"/>
      <c r="H6" s="63"/>
      <c r="I6" s="63"/>
      <c r="J6" s="63"/>
      <c r="K6" s="14"/>
      <c r="L6" s="14"/>
      <c r="M6" s="14"/>
      <c r="N6" s="14"/>
      <c r="O6" s="14"/>
      <c r="P6" s="1"/>
    </row>
    <row r="7" spans="1:16" ht="19.5" customHeight="1">
      <c r="B7" s="6" t="s">
        <v>15</v>
      </c>
      <c r="C7" s="29">
        <v>20</v>
      </c>
      <c r="D7" s="24">
        <f>O5*C7</f>
        <v>1000</v>
      </c>
      <c r="E7" s="30">
        <f>C7*200</f>
        <v>4000</v>
      </c>
      <c r="F7" s="26">
        <f>O5*E7</f>
        <v>200000</v>
      </c>
      <c r="G7" s="31">
        <f>C7*100</f>
        <v>2000</v>
      </c>
      <c r="H7" s="24">
        <f>O5*G7</f>
        <v>100000</v>
      </c>
      <c r="I7" s="30">
        <f>C7*10</f>
        <v>200</v>
      </c>
      <c r="J7" s="28">
        <f>O5*I7</f>
        <v>10000</v>
      </c>
      <c r="K7" s="14"/>
      <c r="L7" s="14"/>
      <c r="M7" s="14"/>
      <c r="N7" s="14"/>
      <c r="O7" s="14"/>
      <c r="P7" s="1"/>
    </row>
    <row r="8" spans="1:16" ht="19.5" customHeight="1">
      <c r="B8" s="10" t="s">
        <v>7</v>
      </c>
      <c r="C8" s="62"/>
      <c r="D8" s="63"/>
      <c r="E8" s="63"/>
      <c r="F8" s="63"/>
      <c r="G8" s="63"/>
      <c r="H8" s="63"/>
      <c r="I8" s="63"/>
      <c r="J8" s="63"/>
      <c r="K8" s="14"/>
      <c r="L8" s="14"/>
      <c r="M8" s="14"/>
      <c r="N8" s="14"/>
      <c r="O8" s="14"/>
      <c r="P8" s="1"/>
    </row>
    <row r="9" spans="1:16" ht="33.5" customHeight="1">
      <c r="B9" s="6" t="s">
        <v>14</v>
      </c>
      <c r="C9" s="8"/>
      <c r="D9" s="24">
        <v>500</v>
      </c>
      <c r="E9" s="25"/>
      <c r="F9" s="26">
        <f>D9*200</f>
        <v>100000</v>
      </c>
      <c r="G9" s="27"/>
      <c r="H9" s="24">
        <f>D9*100</f>
        <v>50000</v>
      </c>
      <c r="I9" s="25"/>
      <c r="J9" s="28">
        <f>D9*10</f>
        <v>5000</v>
      </c>
      <c r="K9" s="14"/>
      <c r="L9" s="14"/>
      <c r="M9" s="14"/>
      <c r="N9" s="14"/>
      <c r="O9" s="14"/>
      <c r="P9" s="1"/>
    </row>
    <row r="10" spans="1:16" ht="26" customHeight="1"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"/>
    </row>
    <row r="11" spans="1:16" ht="35" customHeight="1">
      <c r="B11" s="41" t="s">
        <v>5</v>
      </c>
      <c r="C11" s="39" t="s">
        <v>2</v>
      </c>
      <c r="D11" s="40"/>
      <c r="E11" s="44" t="s">
        <v>23</v>
      </c>
      <c r="F11" s="45"/>
      <c r="G11" s="37" t="s">
        <v>25</v>
      </c>
      <c r="H11" s="38"/>
      <c r="I11" s="44" t="s">
        <v>24</v>
      </c>
      <c r="J11" s="46"/>
      <c r="K11" s="14"/>
      <c r="L11" s="72"/>
      <c r="M11" s="72"/>
      <c r="N11" s="72"/>
      <c r="O11" s="15"/>
      <c r="P11" s="1"/>
    </row>
    <row r="12" spans="1:16" ht="22.5" customHeight="1">
      <c r="B12" s="42"/>
      <c r="C12" s="79" t="s">
        <v>1</v>
      </c>
      <c r="D12" s="65"/>
      <c r="E12" s="64" t="s">
        <v>1</v>
      </c>
      <c r="F12" s="65"/>
      <c r="G12" s="64" t="s">
        <v>1</v>
      </c>
      <c r="H12" s="65"/>
      <c r="I12" s="64" t="s">
        <v>1</v>
      </c>
      <c r="J12" s="80"/>
      <c r="K12" s="14"/>
      <c r="L12" s="43" t="s">
        <v>16</v>
      </c>
      <c r="M12" s="43"/>
      <c r="N12" s="43"/>
      <c r="O12" s="17">
        <v>5</v>
      </c>
      <c r="P12" s="1"/>
    </row>
    <row r="13" spans="1:16" ht="21" customHeight="1">
      <c r="B13" s="13" t="s">
        <v>8</v>
      </c>
      <c r="C13" s="62"/>
      <c r="D13" s="63"/>
      <c r="E13" s="63"/>
      <c r="F13" s="63"/>
      <c r="G13" s="63"/>
      <c r="H13" s="63"/>
      <c r="I13" s="63"/>
      <c r="J13" s="63"/>
      <c r="K13" s="14"/>
      <c r="L13" s="72"/>
      <c r="M13" s="72"/>
      <c r="N13" s="72"/>
      <c r="O13" s="15"/>
      <c r="P13" s="1"/>
    </row>
    <row r="14" spans="1:16" ht="19" customHeight="1">
      <c r="B14" s="6" t="s">
        <v>4</v>
      </c>
      <c r="C14" s="81">
        <v>38</v>
      </c>
      <c r="D14" s="67"/>
      <c r="E14" s="66">
        <f>0.25*(C14*200)</f>
        <v>1900</v>
      </c>
      <c r="F14" s="67"/>
      <c r="G14" s="66">
        <f>0.25*(C14*100)</f>
        <v>950</v>
      </c>
      <c r="H14" s="67"/>
      <c r="I14" s="66">
        <f>0.25*(C14*10)</f>
        <v>95</v>
      </c>
      <c r="J14" s="71"/>
      <c r="K14" s="14"/>
      <c r="O14" s="15"/>
      <c r="P14" s="1"/>
    </row>
    <row r="15" spans="1:16" ht="19.5" customHeight="1">
      <c r="B15" s="6" t="s">
        <v>9</v>
      </c>
      <c r="C15" s="81">
        <v>150</v>
      </c>
      <c r="D15" s="67"/>
      <c r="E15" s="66">
        <v>5000</v>
      </c>
      <c r="F15" s="67"/>
      <c r="G15" s="66">
        <v>3000</v>
      </c>
      <c r="H15" s="67"/>
      <c r="I15" s="66">
        <v>400</v>
      </c>
      <c r="J15" s="71"/>
      <c r="K15" s="14"/>
      <c r="O15" s="15"/>
      <c r="P15" s="1"/>
    </row>
    <row r="16" spans="1:16" ht="21" customHeight="1">
      <c r="B16" s="10" t="s">
        <v>7</v>
      </c>
      <c r="C16" s="62"/>
      <c r="D16" s="63"/>
      <c r="E16" s="63"/>
      <c r="F16" s="63"/>
      <c r="G16" s="63"/>
      <c r="H16" s="63"/>
      <c r="I16" s="63"/>
      <c r="J16" s="63"/>
      <c r="K16" s="14"/>
      <c r="L16" s="49"/>
      <c r="M16" s="49"/>
      <c r="N16" s="49"/>
      <c r="O16" s="15"/>
      <c r="P16" s="1"/>
    </row>
    <row r="17" spans="2:16" ht="21" customHeight="1">
      <c r="B17" s="6" t="s">
        <v>21</v>
      </c>
      <c r="C17" s="81">
        <v>200</v>
      </c>
      <c r="D17" s="67"/>
      <c r="E17" s="68">
        <f>C17*200</f>
        <v>40000</v>
      </c>
      <c r="F17" s="68"/>
      <c r="G17" s="66">
        <f>C17*100</f>
        <v>20000</v>
      </c>
      <c r="H17" s="67"/>
      <c r="I17" s="66">
        <f>C17*10</f>
        <v>2000</v>
      </c>
      <c r="J17" s="71"/>
      <c r="K17" s="14"/>
      <c r="L17" s="49"/>
      <c r="M17" s="49"/>
      <c r="N17" s="49"/>
      <c r="O17" s="15"/>
      <c r="P17" s="16"/>
    </row>
    <row r="18" spans="2:16" ht="29" customHeight="1">
      <c r="B18" s="32" t="s">
        <v>28</v>
      </c>
      <c r="C18" s="70">
        <f>IF(C7&lt;500, O12, O12/LOG(C7, 500))</f>
        <v>5</v>
      </c>
      <c r="D18" s="82"/>
      <c r="E18" s="69">
        <f>IF(E7&lt;500, O12, O12/LOG(E7, 500))</f>
        <v>3.7464256714683368</v>
      </c>
      <c r="F18" s="70"/>
      <c r="G18" s="84">
        <f>IF(G7&lt;500, O12, O12/LOG(G7, 500))</f>
        <v>4.0880725226387078</v>
      </c>
      <c r="H18" s="82"/>
      <c r="I18" s="84">
        <f>IF(I7&lt;500, O12, O12/LOG(I7, 500))</f>
        <v>5</v>
      </c>
      <c r="J18" s="69"/>
      <c r="K18" s="14"/>
      <c r="L18" s="49"/>
      <c r="M18" s="49"/>
      <c r="N18" s="49"/>
      <c r="O18" s="15"/>
      <c r="P18" s="16"/>
    </row>
    <row r="19" spans="2:16" ht="19" customHeight="1">
      <c r="B19" s="6" t="s">
        <v>22</v>
      </c>
      <c r="C19" s="78">
        <f>C18*C7</f>
        <v>100</v>
      </c>
      <c r="D19" s="83"/>
      <c r="E19" s="52">
        <f>E18*E7</f>
        <v>14985.702685873348</v>
      </c>
      <c r="F19" s="78"/>
      <c r="G19" s="51">
        <f>G18*G7</f>
        <v>8176.1450452774152</v>
      </c>
      <c r="H19" s="83"/>
      <c r="I19" s="51">
        <f>I18*I7</f>
        <v>1000</v>
      </c>
      <c r="J19" s="52"/>
      <c r="K19" s="14"/>
      <c r="L19" s="15"/>
      <c r="M19" s="15"/>
      <c r="N19" s="15"/>
      <c r="O19" s="15"/>
      <c r="P19" s="16"/>
    </row>
    <row r="20" spans="2:16" ht="27.5" customHeight="1">
      <c r="B20" s="14"/>
      <c r="C20" s="14"/>
      <c r="D20" s="11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"/>
    </row>
    <row r="21" spans="2:16" ht="37.5" customHeight="1">
      <c r="B21" s="7" t="s">
        <v>10</v>
      </c>
      <c r="C21" s="39" t="s">
        <v>2</v>
      </c>
      <c r="D21" s="40"/>
      <c r="E21" s="44" t="s">
        <v>23</v>
      </c>
      <c r="F21" s="45"/>
      <c r="G21" s="37" t="s">
        <v>25</v>
      </c>
      <c r="H21" s="38"/>
      <c r="I21" s="44" t="s">
        <v>24</v>
      </c>
      <c r="J21" s="46"/>
      <c r="K21" s="14"/>
      <c r="L21" s="14"/>
      <c r="M21" s="14"/>
      <c r="N21" s="14"/>
      <c r="O21" s="14"/>
      <c r="P21" s="1"/>
    </row>
    <row r="22" spans="2:16" ht="30.5" customHeight="1">
      <c r="B22" s="21" t="s">
        <v>13</v>
      </c>
      <c r="C22" s="58">
        <v>4</v>
      </c>
      <c r="D22" s="58"/>
      <c r="E22" s="58"/>
      <c r="F22" s="58"/>
      <c r="G22" s="58"/>
      <c r="H22" s="58"/>
      <c r="I22" s="58"/>
      <c r="J22" s="58"/>
      <c r="K22" s="14"/>
      <c r="L22" s="14"/>
      <c r="M22" s="14"/>
      <c r="N22" s="14"/>
      <c r="O22" s="14"/>
      <c r="P22" s="1"/>
    </row>
    <row r="23" spans="2:16" ht="21" customHeight="1">
      <c r="B23" s="23"/>
      <c r="C23" s="47" t="s">
        <v>12</v>
      </c>
      <c r="D23" s="59"/>
      <c r="E23" s="47" t="s">
        <v>12</v>
      </c>
      <c r="F23" s="59"/>
      <c r="G23" s="60" t="s">
        <v>12</v>
      </c>
      <c r="H23" s="61"/>
      <c r="I23" s="47" t="s">
        <v>12</v>
      </c>
      <c r="J23" s="48"/>
      <c r="K23" s="14"/>
      <c r="L23" s="14"/>
      <c r="M23" s="14"/>
      <c r="N23" s="14"/>
      <c r="O23" s="14"/>
      <c r="P23" s="1"/>
    </row>
    <row r="24" spans="2:16" ht="27.5" customHeight="1">
      <c r="B24" s="13" t="s">
        <v>11</v>
      </c>
      <c r="C24" s="53">
        <f>D7+(C22*(C14+C15))</f>
        <v>1752</v>
      </c>
      <c r="D24" s="54"/>
      <c r="E24" s="55">
        <f>F7+(C22*(E14+E15))</f>
        <v>227600</v>
      </c>
      <c r="F24" s="56"/>
      <c r="G24" s="57">
        <f>H7+(C22*(G14+G15))</f>
        <v>115800</v>
      </c>
      <c r="H24" s="54"/>
      <c r="I24" s="55">
        <f>J7+(C22*(I14+I15))</f>
        <v>11980</v>
      </c>
      <c r="J24" s="53"/>
      <c r="K24" s="14"/>
      <c r="L24" s="14"/>
      <c r="M24" s="14"/>
      <c r="N24" s="14"/>
      <c r="O24" s="14"/>
      <c r="P24" s="1"/>
    </row>
    <row r="25" spans="2:16" ht="30.5" customHeight="1">
      <c r="B25" s="10" t="s">
        <v>19</v>
      </c>
      <c r="C25" s="53">
        <f>D9+(C22*(C17+C19))</f>
        <v>1700</v>
      </c>
      <c r="D25" s="54"/>
      <c r="E25" s="55">
        <f>F9+(C22*(E17+E18))</f>
        <v>260014.98570268587</v>
      </c>
      <c r="F25" s="56"/>
      <c r="G25" s="57">
        <f>H9+(C22*(G17+G18))</f>
        <v>130016.35229009055</v>
      </c>
      <c r="H25" s="54"/>
      <c r="I25" s="55">
        <f>J9+(C22*(I17+I18))</f>
        <v>13020</v>
      </c>
      <c r="J25" s="53"/>
      <c r="K25" s="14"/>
      <c r="L25" s="14"/>
      <c r="M25" s="14"/>
      <c r="N25" s="14"/>
      <c r="O25" s="14"/>
      <c r="P25" s="1"/>
    </row>
    <row r="26" spans="2:16" ht="21" customHeight="1"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"/>
    </row>
    <row r="27" spans="2:16" ht="36.5" customHeight="1">
      <c r="B27" s="7" t="s">
        <v>18</v>
      </c>
      <c r="C27" s="39" t="s">
        <v>2</v>
      </c>
      <c r="D27" s="40"/>
      <c r="E27" s="44" t="s">
        <v>23</v>
      </c>
      <c r="F27" s="45"/>
      <c r="G27" s="37" t="s">
        <v>25</v>
      </c>
      <c r="H27" s="38"/>
      <c r="I27" s="44" t="s">
        <v>24</v>
      </c>
      <c r="J27" s="46"/>
      <c r="K27" s="14"/>
      <c r="L27" s="49"/>
      <c r="M27" s="49"/>
      <c r="N27" s="49"/>
      <c r="O27" s="14"/>
      <c r="P27" s="1"/>
    </row>
    <row r="28" spans="2:16" ht="28.5" customHeight="1">
      <c r="B28" s="22" t="s">
        <v>20</v>
      </c>
      <c r="C28" s="73">
        <f>C25/C24</f>
        <v>0.97031963470319638</v>
      </c>
      <c r="D28" s="74"/>
      <c r="E28" s="75">
        <f>E25/E24</f>
        <v>1.1424208510662823</v>
      </c>
      <c r="F28" s="76"/>
      <c r="G28" s="77">
        <f>G25/G24</f>
        <v>1.122766427375566</v>
      </c>
      <c r="H28" s="74"/>
      <c r="I28" s="75">
        <f>I25/I24</f>
        <v>1.0868113522537564</v>
      </c>
      <c r="J28" s="73"/>
      <c r="K28" s="14"/>
      <c r="L28" s="50"/>
      <c r="M28" s="50"/>
      <c r="N28" s="50"/>
      <c r="O28" s="14"/>
      <c r="P28" s="1"/>
    </row>
    <row r="29" spans="2:16" ht="15.75" customHeight="1"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"/>
    </row>
    <row r="30" spans="2:16" ht="15.75" customHeight="1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2:16" ht="15.75" customHeight="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2:16" ht="15.75" customHeight="1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2:16" ht="15.75" customHeight="1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2:16" ht="15.75" customHeight="1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2:16" ht="15.75" customHeight="1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2:16" ht="15.75" customHeight="1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2:16" ht="15.75" customHeight="1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2:16" ht="15.75" customHeight="1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2:16" ht="15.75" customHeight="1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2:16" ht="15.75" customHeight="1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2:16" ht="15.75" customHeight="1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2:16" ht="15.75" customHeight="1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2:16" ht="15.75" customHeight="1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2:16" ht="15.75" customHeight="1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2:16" ht="15.75" customHeight="1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2:16" ht="15.75" customHeight="1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2:16" ht="15.75" customHeight="1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2:16" ht="15.75" customHeight="1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ht="15.75" customHeight="1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ht="15.75" customHeight="1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ht="15.75" customHeight="1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15.75" customHeight="1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15.75" customHeight="1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21" customHeight="1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42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</sheetData>
  <mergeCells count="73">
    <mergeCell ref="E19:F19"/>
    <mergeCell ref="C12:D12"/>
    <mergeCell ref="G12:H12"/>
    <mergeCell ref="I12:J12"/>
    <mergeCell ref="C14:D14"/>
    <mergeCell ref="C15:D15"/>
    <mergeCell ref="C17:D17"/>
    <mergeCell ref="C18:D18"/>
    <mergeCell ref="C19:D19"/>
    <mergeCell ref="G14:H14"/>
    <mergeCell ref="G15:H15"/>
    <mergeCell ref="G17:H17"/>
    <mergeCell ref="G18:H18"/>
    <mergeCell ref="G19:H19"/>
    <mergeCell ref="I17:J17"/>
    <mergeCell ref="I18:J18"/>
    <mergeCell ref="C27:D27"/>
    <mergeCell ref="E27:F27"/>
    <mergeCell ref="G27:H27"/>
    <mergeCell ref="I27:J27"/>
    <mergeCell ref="C28:D28"/>
    <mergeCell ref="E28:F28"/>
    <mergeCell ref="G28:H28"/>
    <mergeCell ref="I28:J28"/>
    <mergeCell ref="L17:N17"/>
    <mergeCell ref="L18:N18"/>
    <mergeCell ref="C6:J6"/>
    <mergeCell ref="C8:J8"/>
    <mergeCell ref="C13:J13"/>
    <mergeCell ref="C16:J16"/>
    <mergeCell ref="E12:F12"/>
    <mergeCell ref="E14:F14"/>
    <mergeCell ref="E15:F15"/>
    <mergeCell ref="E17:F17"/>
    <mergeCell ref="E18:F18"/>
    <mergeCell ref="I14:J14"/>
    <mergeCell ref="I15:J15"/>
    <mergeCell ref="L12:N12"/>
    <mergeCell ref="L13:N13"/>
    <mergeCell ref="L11:N11"/>
    <mergeCell ref="L27:N27"/>
    <mergeCell ref="L28:N28"/>
    <mergeCell ref="L16:N16"/>
    <mergeCell ref="I19:J19"/>
    <mergeCell ref="C24:D24"/>
    <mergeCell ref="C25:D25"/>
    <mergeCell ref="E24:F24"/>
    <mergeCell ref="G24:H24"/>
    <mergeCell ref="I24:J24"/>
    <mergeCell ref="E25:F25"/>
    <mergeCell ref="G25:H25"/>
    <mergeCell ref="I25:J25"/>
    <mergeCell ref="C22:J22"/>
    <mergeCell ref="C23:D23"/>
    <mergeCell ref="E23:F23"/>
    <mergeCell ref="G23:H23"/>
    <mergeCell ref="I23:J23"/>
    <mergeCell ref="C21:D21"/>
    <mergeCell ref="E21:F21"/>
    <mergeCell ref="G21:H21"/>
    <mergeCell ref="I21:J21"/>
    <mergeCell ref="B11:B12"/>
    <mergeCell ref="C11:D11"/>
    <mergeCell ref="E11:F11"/>
    <mergeCell ref="G11:H11"/>
    <mergeCell ref="I11:J11"/>
    <mergeCell ref="B2:L2"/>
    <mergeCell ref="G4:H4"/>
    <mergeCell ref="C4:D4"/>
    <mergeCell ref="B4:B5"/>
    <mergeCell ref="L5:N5"/>
    <mergeCell ref="E4:F4"/>
    <mergeCell ref="I4:J4"/>
  </mergeCells>
  <printOptions horizontalCentered="1" verticalCentered="1"/>
  <pageMargins left="0.25" right="0.25" top="0.25" bottom="0.25" header="0" footer="0"/>
  <pageSetup scale="9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Budget Shop4Me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Sara Joinis</cp:lastModifiedBy>
  <dcterms:created xsi:type="dcterms:W3CDTF">2016-02-17T05:52:24Z</dcterms:created>
  <dcterms:modified xsi:type="dcterms:W3CDTF">2024-12-05T15:44:04Z</dcterms:modified>
</cp:coreProperties>
</file>