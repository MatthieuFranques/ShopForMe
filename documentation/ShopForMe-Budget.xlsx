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saraj\Documents\T-ESP-901\"/>
    </mc:Choice>
  </mc:AlternateContent>
  <xr:revisionPtr revIDLastSave="0" documentId="13_ncr:1_{87ED5447-5FEB-4B6F-BD72-F2C5EC588CD6}" xr6:coauthVersionLast="47" xr6:coauthVersionMax="47" xr10:uidLastSave="{00000000-0000-0000-0000-000000000000}"/>
  <bookViews>
    <workbookView xWindow="-110" yWindow="-110" windowWidth="19420" windowHeight="10300" tabRatio="353" xr2:uid="{00000000-000D-0000-FFFF-FFFF00000000}"/>
  </bookViews>
  <sheets>
    <sheet name="Budget Shop4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CcS2gFILVHN7vNcLFfsk7FmHUDGIqpPzVrxbK4njvoQ="/>
    </ext>
  </extLst>
</workbook>
</file>

<file path=xl/calcChain.xml><?xml version="1.0" encoding="utf-8"?>
<calcChain xmlns="http://schemas.openxmlformats.org/spreadsheetml/2006/main">
  <c r="I26" i="1" l="1"/>
  <c r="G26" i="1"/>
  <c r="E26" i="1"/>
  <c r="C26" i="1"/>
  <c r="I16" i="1" l="1"/>
  <c r="G16" i="1"/>
  <c r="E16" i="1"/>
  <c r="C16" i="1"/>
  <c r="D7" i="1"/>
  <c r="I14" i="1"/>
  <c r="G14" i="1"/>
  <c r="E14" i="1"/>
  <c r="I19" i="1"/>
  <c r="G19" i="1"/>
  <c r="E19" i="1"/>
  <c r="F9" i="1"/>
  <c r="J9" i="1"/>
  <c r="H9" i="1"/>
  <c r="I7" i="1"/>
  <c r="I20" i="1" s="1"/>
  <c r="I21" i="1" s="1"/>
  <c r="G7" i="1"/>
  <c r="G20" i="1" s="1"/>
  <c r="G21" i="1" s="1"/>
  <c r="E7" i="1"/>
  <c r="E20" i="1" s="1"/>
  <c r="E21" i="1" s="1"/>
  <c r="C20" i="1"/>
  <c r="C21" i="1" s="1"/>
  <c r="C27" i="1" s="1"/>
  <c r="C30" i="1" l="1"/>
  <c r="F7" i="1"/>
  <c r="H7" i="1"/>
  <c r="J7" i="1"/>
  <c r="I27" i="1"/>
  <c r="E27" i="1"/>
  <c r="G27" i="1"/>
  <c r="I30" i="1" l="1"/>
  <c r="E30" i="1"/>
  <c r="G30" i="1"/>
</calcChain>
</file>

<file path=xl/sharedStrings.xml><?xml version="1.0" encoding="utf-8"?>
<sst xmlns="http://schemas.openxmlformats.org/spreadsheetml/2006/main" count="58" uniqueCount="31">
  <si>
    <t>Quantité</t>
  </si>
  <si>
    <t>Total (€)</t>
  </si>
  <si>
    <t>Valeurs de référence (1 magasin)</t>
  </si>
  <si>
    <t>BUDGET - Identification des coûts et des bénéfices associés à l'application mobile Shop4Me</t>
  </si>
  <si>
    <t>VM (hébergement backend + Docker)</t>
  </si>
  <si>
    <t>Budget mensuel</t>
  </si>
  <si>
    <t>Budget initial</t>
  </si>
  <si>
    <t>Bénéfice(s) perçu(s) par l'équipe Shop4Me</t>
  </si>
  <si>
    <t>Coût(s) pour l'équipe Shop4Me</t>
  </si>
  <si>
    <t>Maintenance</t>
  </si>
  <si>
    <t>Budget total (pour X mois)</t>
  </si>
  <si>
    <t>Coût(s) totaux pour l'équipe Shop4Me</t>
  </si>
  <si>
    <t>TOTAL (€)</t>
  </si>
  <si>
    <t xml:space="preserve">NOMBRE DE MOIS </t>
  </si>
  <si>
    <t>Mise en service de l'application (configuration initiale)</t>
  </si>
  <si>
    <t>Achat de cartes ESP-32 (tags)</t>
  </si>
  <si>
    <t>Prix d'une licence pour un tag (€)</t>
  </si>
  <si>
    <t>Prix d'un tag (€)</t>
  </si>
  <si>
    <t>Retour sur investissement</t>
  </si>
  <si>
    <t>Bénéfice(s) totaux perçu(s) par l'équipe Shop4Me</t>
  </si>
  <si>
    <t>Bénéfice(s) totaux / Coût(s) totaux</t>
  </si>
  <si>
    <t>Total des licences</t>
  </si>
  <si>
    <t>Grande échelle (200 magasins)</t>
  </si>
  <si>
    <t>Petite échelle (10 magasins)</t>
  </si>
  <si>
    <t>Moyenne échelle (100 magasins)</t>
  </si>
  <si>
    <t>Chiffrage basé sur une moyenne de 100 utilisateurs par magasin* et par jour</t>
  </si>
  <si>
    <t>* on ne considère qu'une seule enseigne (Leclerc par exemple)</t>
  </si>
  <si>
    <t>Prix de la licence d'un tag en fonction du nombre total de tags (sur l'ensemble des magasins équipés)</t>
  </si>
  <si>
    <t>Salaire total équipe (en supposant que l'équipe reste fixe)</t>
  </si>
  <si>
    <t>Licence payée par les magasins pour utiliser l'application</t>
  </si>
  <si>
    <t>Prestation (audit) pour assurer la sécurité et la fiabilité de l'application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</si>
</sst>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Calibri"/>
      <scheme val="minor"/>
    </font>
    <font>
      <sz val="12"/>
      <color theme="1"/>
      <name val="Arial"/>
    </font>
    <font>
      <b/>
      <sz val="21"/>
      <color rgb="FF595959"/>
      <name val="&quot;docs-Century Gothic&quot;"/>
    </font>
    <font>
      <b/>
      <sz val="10"/>
      <color theme="0"/>
      <name val="Century Gothic"/>
      <family val="2"/>
    </font>
    <font>
      <b/>
      <sz val="9"/>
      <color theme="0"/>
      <name val="Century Gothic"/>
      <family val="2"/>
    </font>
    <font>
      <b/>
      <sz val="8"/>
      <color theme="0"/>
      <name val="Century Gothic"/>
      <family val="2"/>
    </font>
    <font>
      <b/>
      <sz val="18"/>
      <color theme="4" tint="-0.249977111117893"/>
      <name val="Century Gothic"/>
      <family val="2"/>
    </font>
    <font>
      <sz val="9"/>
      <color theme="1"/>
      <name val="Century Gothic"/>
      <family val="2"/>
    </font>
    <font>
      <b/>
      <sz val="12"/>
      <color theme="1"/>
      <name val="Century Gothic"/>
      <family val="2"/>
    </font>
    <font>
      <b/>
      <sz val="9"/>
      <color theme="1"/>
      <name val="Century Gothic"/>
      <family val="2"/>
    </font>
    <font>
      <sz val="12"/>
      <color theme="1"/>
      <name val="Century Gothic"/>
      <family val="2"/>
    </font>
    <font>
      <i/>
      <sz val="9"/>
      <color theme="1"/>
      <name val="Century Gothic"/>
      <family val="2"/>
    </font>
    <font>
      <b/>
      <sz val="21"/>
      <color rgb="FF595959"/>
      <name val="Century Gothic"/>
      <family val="2"/>
    </font>
    <font>
      <sz val="10"/>
      <color theme="1"/>
      <name val="Century Gothic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-0.249977111117893"/>
        <bgColor rgb="FF333F4F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rgb="FF222A3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3" tint="0.499984740745262"/>
      </left>
      <right/>
      <top style="thin">
        <color theme="3" tint="0.499984740745262"/>
      </top>
      <bottom style="thin">
        <color theme="3" tint="0.499984740745262"/>
      </bottom>
      <diagonal/>
    </border>
    <border>
      <left/>
      <right/>
      <top style="thin">
        <color theme="3" tint="0.499984740745262"/>
      </top>
      <bottom style="thin">
        <color theme="3" tint="0.499984740745262"/>
      </bottom>
      <diagonal/>
    </border>
    <border>
      <left/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3" tint="0.499984740745262"/>
      </left>
      <right style="medium">
        <color theme="1"/>
      </right>
      <top style="thin">
        <color theme="3" tint="0.499984740745262"/>
      </top>
      <bottom style="thin">
        <color theme="3" tint="0.499984740745262"/>
      </bottom>
      <diagonal/>
    </border>
    <border>
      <left/>
      <right style="medium">
        <color theme="1"/>
      </right>
      <top style="thin">
        <color theme="3" tint="0.499984740745262"/>
      </top>
      <bottom style="thin">
        <color theme="3" tint="0.499984740745262"/>
      </bottom>
      <diagonal/>
    </border>
    <border>
      <left style="medium">
        <color theme="1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medium">
        <color theme="1"/>
      </left>
      <right/>
      <top style="thin">
        <color theme="3" tint="0.499984740745262"/>
      </top>
      <bottom style="thin">
        <color theme="3" tint="0.499984740745262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10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12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left" vertical="center" wrapText="1"/>
    </xf>
    <xf numFmtId="0" fontId="7" fillId="0" borderId="4" xfId="0" applyFont="1" applyBorder="1"/>
    <xf numFmtId="3" fontId="7" fillId="0" borderId="5" xfId="0" applyNumberFormat="1" applyFont="1" applyBorder="1" applyAlignment="1">
      <alignment horizontal="center" vertical="center"/>
    </xf>
    <xf numFmtId="3" fontId="7" fillId="7" borderId="4" xfId="0" applyNumberFormat="1" applyFont="1" applyFill="1" applyBorder="1" applyAlignment="1">
      <alignment horizontal="center" vertical="center"/>
    </xf>
    <xf numFmtId="3" fontId="7" fillId="0" borderId="2" xfId="0" applyNumberFormat="1" applyFont="1" applyBorder="1" applyAlignment="1">
      <alignment horizontal="center" vertical="center"/>
    </xf>
    <xf numFmtId="3" fontId="7" fillId="7" borderId="7" xfId="0" applyNumberFormat="1" applyFont="1" applyFill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3" fontId="7" fillId="0" borderId="4" xfId="0" applyNumberFormat="1" applyFont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top"/>
    </xf>
    <xf numFmtId="4" fontId="7" fillId="0" borderId="4" xfId="0" applyNumberFormat="1" applyFont="1" applyBorder="1" applyAlignment="1">
      <alignment horizontal="center" vertical="center"/>
    </xf>
    <xf numFmtId="4" fontId="7" fillId="0" borderId="2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3" fontId="7" fillId="0" borderId="2" xfId="0" applyNumberFormat="1" applyFont="1" applyBorder="1" applyAlignment="1">
      <alignment horizontal="center" vertical="center"/>
    </xf>
    <xf numFmtId="3" fontId="7" fillId="0" borderId="6" xfId="0" applyNumberFormat="1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center" vertical="center"/>
    </xf>
    <xf numFmtId="4" fontId="11" fillId="0" borderId="6" xfId="0" applyNumberFormat="1" applyFont="1" applyBorder="1" applyAlignment="1">
      <alignment horizontal="center" vertical="center"/>
    </xf>
    <xf numFmtId="4" fontId="7" fillId="0" borderId="6" xfId="0" applyNumberFormat="1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4" fontId="11" fillId="0" borderId="8" xfId="0" applyNumberFormat="1" applyFont="1" applyBorder="1" applyAlignment="1">
      <alignment horizontal="center" vertical="center"/>
    </xf>
    <xf numFmtId="4" fontId="7" fillId="0" borderId="8" xfId="0" applyNumberFormat="1" applyFont="1" applyBorder="1" applyAlignment="1">
      <alignment horizontal="center" vertical="center"/>
    </xf>
    <xf numFmtId="3" fontId="7" fillId="0" borderId="4" xfId="0" applyNumberFormat="1" applyFont="1" applyBorder="1" applyAlignment="1">
      <alignment horizontal="center" vertical="center"/>
    </xf>
    <xf numFmtId="4" fontId="11" fillId="0" borderId="4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8" fillId="14" borderId="1" xfId="0" applyNumberFormat="1" applyFont="1" applyFill="1" applyBorder="1" applyAlignment="1">
      <alignment horizontal="center" vertical="center"/>
    </xf>
    <xf numFmtId="2" fontId="8" fillId="14" borderId="5" xfId="0" applyNumberFormat="1" applyFont="1" applyFill="1" applyBorder="1" applyAlignment="1">
      <alignment horizontal="center" vertical="center"/>
    </xf>
    <xf numFmtId="2" fontId="8" fillId="14" borderId="4" xfId="0" applyNumberFormat="1" applyFont="1" applyFill="1" applyBorder="1" applyAlignment="1">
      <alignment horizontal="center" vertical="center"/>
    </xf>
    <xf numFmtId="2" fontId="8" fillId="14" borderId="2" xfId="0" applyNumberFormat="1" applyFont="1" applyFill="1" applyBorder="1" applyAlignment="1">
      <alignment horizontal="center" vertical="center"/>
    </xf>
    <xf numFmtId="2" fontId="8" fillId="14" borderId="7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3" fontId="7" fillId="0" borderId="3" xfId="0" applyNumberFormat="1" applyFont="1" applyBorder="1" applyAlignment="1">
      <alignment horizontal="center" vertical="center"/>
    </xf>
    <xf numFmtId="0" fontId="9" fillId="11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 wrapText="1"/>
    </xf>
    <xf numFmtId="3" fontId="8" fillId="10" borderId="1" xfId="0" applyNumberFormat="1" applyFont="1" applyFill="1" applyBorder="1" applyAlignment="1">
      <alignment horizontal="center" vertical="center"/>
    </xf>
    <xf numFmtId="3" fontId="8" fillId="10" borderId="5" xfId="0" applyNumberFormat="1" applyFont="1" applyFill="1" applyBorder="1" applyAlignment="1">
      <alignment horizontal="center" vertical="center"/>
    </xf>
    <xf numFmtId="3" fontId="8" fillId="10" borderId="4" xfId="0" applyNumberFormat="1" applyFont="1" applyFill="1" applyBorder="1" applyAlignment="1">
      <alignment horizontal="center" vertical="center"/>
    </xf>
    <xf numFmtId="3" fontId="8" fillId="10" borderId="2" xfId="0" applyNumberFormat="1" applyFont="1" applyFill="1" applyBorder="1" applyAlignment="1">
      <alignment horizontal="center" vertical="center"/>
    </xf>
    <xf numFmtId="3" fontId="8" fillId="10" borderId="7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F6000"/>
  </sheetPr>
  <dimension ref="A1:P960"/>
  <sheetViews>
    <sheetView showGridLines="0" tabSelected="1" zoomScale="85" zoomScaleNormal="85" workbookViewId="0">
      <pane ySplit="1" topLeftCell="A22" activePane="bottomLeft" state="frozen"/>
      <selection pane="bottomLeft" activeCell="E32" sqref="E32"/>
    </sheetView>
  </sheetViews>
  <sheetFormatPr baseColWidth="10" defaultColWidth="11.25" defaultRowHeight="15" customHeight="1"/>
  <cols>
    <col min="1" max="1" width="3.4140625" customWidth="1"/>
    <col min="2" max="2" width="47.5" customWidth="1"/>
    <col min="3" max="3" width="16" customWidth="1"/>
    <col min="4" max="4" width="16.1640625" customWidth="1"/>
    <col min="5" max="5" width="15.5" customWidth="1"/>
    <col min="6" max="6" width="15.33203125" customWidth="1"/>
    <col min="7" max="7" width="14.58203125" customWidth="1"/>
    <col min="8" max="8" width="15" customWidth="1"/>
    <col min="9" max="9" width="14.33203125" customWidth="1"/>
    <col min="10" max="10" width="13.75" customWidth="1"/>
    <col min="11" max="11" width="3" customWidth="1"/>
    <col min="12" max="13" width="10.75" customWidth="1"/>
    <col min="14" max="14" width="6.83203125" customWidth="1"/>
    <col min="15" max="15" width="7.83203125" customWidth="1"/>
    <col min="16" max="16" width="10.75" customWidth="1"/>
  </cols>
  <sheetData>
    <row r="1" spans="1:16" ht="49.5" customHeight="1">
      <c r="A1" s="1"/>
      <c r="B1" s="33" t="s">
        <v>3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35" customHeight="1">
      <c r="A2" s="1"/>
      <c r="B2" s="83" t="s">
        <v>25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13"/>
      <c r="N2" s="13"/>
      <c r="O2" s="13"/>
      <c r="P2" s="1"/>
    </row>
    <row r="3" spans="1:16" ht="34" customHeight="1">
      <c r="A3" s="1"/>
      <c r="B3" s="34" t="s">
        <v>26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13"/>
      <c r="N3" s="13"/>
      <c r="O3" s="13"/>
      <c r="P3" s="1"/>
    </row>
    <row r="4" spans="1:16" ht="35.5" customHeight="1">
      <c r="B4" s="81" t="s">
        <v>6</v>
      </c>
      <c r="C4" s="51" t="s">
        <v>2</v>
      </c>
      <c r="D4" s="52"/>
      <c r="E4" s="53" t="s">
        <v>22</v>
      </c>
      <c r="F4" s="54"/>
      <c r="G4" s="55" t="s">
        <v>24</v>
      </c>
      <c r="H4" s="56"/>
      <c r="I4" s="53" t="s">
        <v>23</v>
      </c>
      <c r="J4" s="57"/>
      <c r="K4" s="13"/>
      <c r="L4" s="13"/>
      <c r="M4" s="13"/>
      <c r="N4" s="13"/>
      <c r="O4" s="13"/>
      <c r="P4" s="1"/>
    </row>
    <row r="5" spans="1:16" ht="22.5" customHeight="1">
      <c r="B5" s="82"/>
      <c r="C5" s="4" t="s">
        <v>0</v>
      </c>
      <c r="D5" s="17" t="s">
        <v>1</v>
      </c>
      <c r="E5" s="11" t="s">
        <v>0</v>
      </c>
      <c r="F5" s="18" t="s">
        <v>1</v>
      </c>
      <c r="G5" s="19" t="s">
        <v>0</v>
      </c>
      <c r="H5" s="17" t="s">
        <v>1</v>
      </c>
      <c r="I5" s="11" t="s">
        <v>0</v>
      </c>
      <c r="J5" s="5" t="s">
        <v>1</v>
      </c>
      <c r="K5" s="3"/>
      <c r="L5" s="67" t="s">
        <v>17</v>
      </c>
      <c r="M5" s="67"/>
      <c r="N5" s="67"/>
      <c r="O5" s="16">
        <v>50</v>
      </c>
      <c r="P5" s="1"/>
    </row>
    <row r="6" spans="1:16" ht="19.5" customHeight="1">
      <c r="B6" s="8" t="s">
        <v>8</v>
      </c>
      <c r="C6" s="64"/>
      <c r="D6" s="65"/>
      <c r="E6" s="65"/>
      <c r="F6" s="65"/>
      <c r="G6" s="65"/>
      <c r="H6" s="65"/>
      <c r="I6" s="65"/>
      <c r="J6" s="65"/>
      <c r="K6" s="13"/>
      <c r="L6" s="13"/>
      <c r="M6" s="13"/>
      <c r="N6" s="13"/>
      <c r="O6" s="13"/>
      <c r="P6" s="1"/>
    </row>
    <row r="7" spans="1:16" ht="19.5" customHeight="1">
      <c r="B7" s="84" t="s">
        <v>15</v>
      </c>
      <c r="C7" s="28">
        <v>20</v>
      </c>
      <c r="D7" s="23">
        <f>O5*C7</f>
        <v>1000</v>
      </c>
      <c r="E7" s="29">
        <f>C7*200</f>
        <v>4000</v>
      </c>
      <c r="F7" s="25">
        <f>O5*E7</f>
        <v>200000</v>
      </c>
      <c r="G7" s="30">
        <f>C7*100</f>
        <v>2000</v>
      </c>
      <c r="H7" s="23">
        <f>O5*G7</f>
        <v>100000</v>
      </c>
      <c r="I7" s="29">
        <f>C7*10</f>
        <v>200</v>
      </c>
      <c r="J7" s="27">
        <f>O5*I7</f>
        <v>10000</v>
      </c>
      <c r="K7" s="13"/>
      <c r="L7" s="13"/>
      <c r="M7" s="13"/>
      <c r="N7" s="13"/>
      <c r="O7" s="13"/>
      <c r="P7" s="1"/>
    </row>
    <row r="8" spans="1:16" ht="19.5" customHeight="1">
      <c r="B8" s="9" t="s">
        <v>7</v>
      </c>
      <c r="C8" s="64"/>
      <c r="D8" s="65"/>
      <c r="E8" s="65"/>
      <c r="F8" s="65"/>
      <c r="G8" s="65"/>
      <c r="H8" s="65"/>
      <c r="I8" s="65"/>
      <c r="J8" s="65"/>
      <c r="K8" s="13"/>
      <c r="L8" s="13"/>
      <c r="M8" s="13"/>
      <c r="N8" s="13"/>
      <c r="O8" s="13"/>
      <c r="P8" s="1"/>
    </row>
    <row r="9" spans="1:16" ht="18.5" customHeight="1">
      <c r="B9" s="84" t="s">
        <v>14</v>
      </c>
      <c r="C9" s="7"/>
      <c r="D9" s="23">
        <v>450</v>
      </c>
      <c r="E9" s="24"/>
      <c r="F9" s="25">
        <f>D9*200</f>
        <v>90000</v>
      </c>
      <c r="G9" s="26"/>
      <c r="H9" s="23">
        <f>D9*100</f>
        <v>45000</v>
      </c>
      <c r="I9" s="24"/>
      <c r="J9" s="27">
        <f>D9*10</f>
        <v>4500</v>
      </c>
      <c r="K9" s="13"/>
      <c r="L9" s="13"/>
      <c r="M9" s="13"/>
      <c r="N9" s="13"/>
      <c r="O9" s="13"/>
      <c r="P9" s="1"/>
    </row>
    <row r="10" spans="1:16" ht="26" customHeight="1"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"/>
    </row>
    <row r="11" spans="1:16" ht="35" customHeight="1">
      <c r="B11" s="81" t="s">
        <v>5</v>
      </c>
      <c r="C11" s="51" t="s">
        <v>2</v>
      </c>
      <c r="D11" s="52"/>
      <c r="E11" s="53" t="s">
        <v>22</v>
      </c>
      <c r="F11" s="54"/>
      <c r="G11" s="55" t="s">
        <v>24</v>
      </c>
      <c r="H11" s="56"/>
      <c r="I11" s="53" t="s">
        <v>23</v>
      </c>
      <c r="J11" s="57"/>
      <c r="K11" s="13"/>
      <c r="L11" s="68"/>
      <c r="M11" s="68"/>
      <c r="N11" s="68"/>
      <c r="O11" s="14"/>
      <c r="P11" s="1"/>
    </row>
    <row r="12" spans="1:16" ht="22.5" customHeight="1">
      <c r="B12" s="82"/>
      <c r="C12" s="37" t="s">
        <v>1</v>
      </c>
      <c r="D12" s="38"/>
      <c r="E12" s="39" t="s">
        <v>1</v>
      </c>
      <c r="F12" s="38"/>
      <c r="G12" s="39" t="s">
        <v>1</v>
      </c>
      <c r="H12" s="38"/>
      <c r="I12" s="39" t="s">
        <v>1</v>
      </c>
      <c r="J12" s="40"/>
      <c r="K12" s="13"/>
      <c r="L12" s="67" t="s">
        <v>16</v>
      </c>
      <c r="M12" s="67"/>
      <c r="N12" s="67"/>
      <c r="O12" s="16">
        <v>5</v>
      </c>
      <c r="P12" s="1"/>
    </row>
    <row r="13" spans="1:16" ht="21" customHeight="1">
      <c r="B13" s="12" t="s">
        <v>8</v>
      </c>
      <c r="C13" s="64"/>
      <c r="D13" s="65"/>
      <c r="E13" s="65"/>
      <c r="F13" s="65"/>
      <c r="G13" s="65"/>
      <c r="H13" s="65"/>
      <c r="I13" s="65"/>
      <c r="J13" s="65"/>
      <c r="K13" s="13"/>
      <c r="L13" s="68"/>
      <c r="M13" s="68"/>
      <c r="N13" s="68"/>
      <c r="O13" s="14"/>
      <c r="P13" s="1"/>
    </row>
    <row r="14" spans="1:16" ht="19" customHeight="1">
      <c r="B14" s="84" t="s">
        <v>4</v>
      </c>
      <c r="C14" s="41">
        <v>38</v>
      </c>
      <c r="D14" s="42"/>
      <c r="E14" s="46">
        <f>0.25*(C14*200)</f>
        <v>1900</v>
      </c>
      <c r="F14" s="42"/>
      <c r="G14" s="46">
        <f>0.25*(C14*100)</f>
        <v>950</v>
      </c>
      <c r="H14" s="42"/>
      <c r="I14" s="46">
        <f>0.25*(C14*10)</f>
        <v>95</v>
      </c>
      <c r="J14" s="49"/>
      <c r="K14" s="13"/>
      <c r="O14" s="14"/>
      <c r="P14" s="1"/>
    </row>
    <row r="15" spans="1:16" ht="19.5" customHeight="1">
      <c r="B15" s="84" t="s">
        <v>9</v>
      </c>
      <c r="C15" s="41">
        <v>150</v>
      </c>
      <c r="D15" s="42"/>
      <c r="E15" s="46">
        <v>5000</v>
      </c>
      <c r="F15" s="42"/>
      <c r="G15" s="46">
        <v>3000</v>
      </c>
      <c r="H15" s="42"/>
      <c r="I15" s="46">
        <v>400</v>
      </c>
      <c r="J15" s="49"/>
      <c r="K15" s="13"/>
      <c r="O15" s="14"/>
      <c r="P15" s="1"/>
    </row>
    <row r="16" spans="1:16" ht="19.5" customHeight="1">
      <c r="B16" s="84" t="s">
        <v>28</v>
      </c>
      <c r="C16" s="41">
        <f>11*1800</f>
        <v>19800</v>
      </c>
      <c r="D16" s="42"/>
      <c r="E16" s="41">
        <f>11*1800</f>
        <v>19800</v>
      </c>
      <c r="F16" s="42"/>
      <c r="G16" s="41">
        <f>11*1800</f>
        <v>19800</v>
      </c>
      <c r="H16" s="42"/>
      <c r="I16" s="46">
        <f>11*1800</f>
        <v>19800</v>
      </c>
      <c r="J16" s="49"/>
      <c r="K16" s="13"/>
      <c r="O16" s="14"/>
      <c r="P16" s="1"/>
    </row>
    <row r="17" spans="2:16" ht="31" customHeight="1">
      <c r="B17" s="84" t="s">
        <v>30</v>
      </c>
      <c r="C17" s="41">
        <v>200</v>
      </c>
      <c r="D17" s="42"/>
      <c r="E17" s="41">
        <v>200</v>
      </c>
      <c r="F17" s="42"/>
      <c r="G17" s="41">
        <v>200</v>
      </c>
      <c r="H17" s="42"/>
      <c r="I17" s="46">
        <v>200</v>
      </c>
      <c r="J17" s="49"/>
      <c r="K17" s="13"/>
      <c r="O17" s="14"/>
      <c r="P17" s="1"/>
    </row>
    <row r="18" spans="2:16" ht="21" customHeight="1">
      <c r="B18" s="9" t="s">
        <v>7</v>
      </c>
      <c r="C18" s="64"/>
      <c r="D18" s="65"/>
      <c r="E18" s="65"/>
      <c r="F18" s="65"/>
      <c r="G18" s="65"/>
      <c r="H18" s="65"/>
      <c r="I18" s="65"/>
      <c r="J18" s="65"/>
      <c r="K18" s="13"/>
      <c r="L18" s="63"/>
      <c r="M18" s="63"/>
      <c r="N18" s="63"/>
      <c r="O18" s="14"/>
      <c r="P18" s="1"/>
    </row>
    <row r="19" spans="2:16" ht="19" customHeight="1">
      <c r="B19" s="84" t="s">
        <v>29</v>
      </c>
      <c r="C19" s="41">
        <v>500</v>
      </c>
      <c r="D19" s="42"/>
      <c r="E19" s="66">
        <f>C19*200</f>
        <v>100000</v>
      </c>
      <c r="F19" s="66"/>
      <c r="G19" s="46">
        <f>C19*100</f>
        <v>50000</v>
      </c>
      <c r="H19" s="42"/>
      <c r="I19" s="46">
        <f>C19*10</f>
        <v>5000</v>
      </c>
      <c r="J19" s="49"/>
      <c r="K19" s="13"/>
      <c r="L19" s="63"/>
      <c r="M19" s="63"/>
      <c r="N19" s="63"/>
      <c r="O19" s="14"/>
      <c r="P19" s="15"/>
    </row>
    <row r="20" spans="2:16" ht="29" customHeight="1">
      <c r="B20" s="31" t="s">
        <v>27</v>
      </c>
      <c r="C20" s="43">
        <f>IF(C7&lt;500, O12, O12/LOG(C7, 500))</f>
        <v>5</v>
      </c>
      <c r="D20" s="44"/>
      <c r="E20" s="50">
        <f>IF(E7&lt;500, O12, O12/LOG(E7, 500))</f>
        <v>3.7464256714683368</v>
      </c>
      <c r="F20" s="43"/>
      <c r="G20" s="47">
        <f>IF(G7&lt;500, O12, O12/LOG(G7, 500))</f>
        <v>4.0880725226387078</v>
      </c>
      <c r="H20" s="44"/>
      <c r="I20" s="47">
        <f>IF(I7&lt;500, O12, O12/LOG(I7, 500))</f>
        <v>5</v>
      </c>
      <c r="J20" s="50"/>
      <c r="K20" s="13"/>
      <c r="L20" s="63"/>
      <c r="M20" s="63"/>
      <c r="N20" s="63"/>
      <c r="O20" s="14"/>
      <c r="P20" s="15"/>
    </row>
    <row r="21" spans="2:16" ht="19" customHeight="1">
      <c r="B21" s="84" t="s">
        <v>21</v>
      </c>
      <c r="C21" s="36">
        <f>C20*C7</f>
        <v>100</v>
      </c>
      <c r="D21" s="45"/>
      <c r="E21" s="35">
        <f>E20*E7</f>
        <v>14985.702685873348</v>
      </c>
      <c r="F21" s="36"/>
      <c r="G21" s="48">
        <f>G20*G7</f>
        <v>8176.1450452774152</v>
      </c>
      <c r="H21" s="45"/>
      <c r="I21" s="48">
        <f>I20*I7</f>
        <v>1000</v>
      </c>
      <c r="J21" s="35"/>
      <c r="K21" s="13"/>
      <c r="L21" s="14"/>
      <c r="M21" s="14"/>
      <c r="N21" s="14"/>
      <c r="O21" s="14"/>
      <c r="P21" s="15"/>
    </row>
    <row r="22" spans="2:16" ht="27.5" customHeight="1">
      <c r="C22" s="13"/>
      <c r="D22" s="10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"/>
    </row>
    <row r="23" spans="2:16" ht="37.5" customHeight="1">
      <c r="B23" s="6" t="s">
        <v>10</v>
      </c>
      <c r="C23" s="51" t="s">
        <v>2</v>
      </c>
      <c r="D23" s="52"/>
      <c r="E23" s="53" t="s">
        <v>22</v>
      </c>
      <c r="F23" s="54"/>
      <c r="G23" s="55" t="s">
        <v>24</v>
      </c>
      <c r="H23" s="56"/>
      <c r="I23" s="53" t="s">
        <v>23</v>
      </c>
      <c r="J23" s="57"/>
      <c r="K23" s="13"/>
      <c r="L23" s="13"/>
      <c r="M23" s="13"/>
      <c r="N23" s="13"/>
      <c r="O23" s="13"/>
      <c r="P23" s="1"/>
    </row>
    <row r="24" spans="2:16" ht="30.5" customHeight="1">
      <c r="B24" s="20" t="s">
        <v>13</v>
      </c>
      <c r="C24" s="75">
        <v>4</v>
      </c>
      <c r="D24" s="75"/>
      <c r="E24" s="75"/>
      <c r="F24" s="75"/>
      <c r="G24" s="75"/>
      <c r="H24" s="75"/>
      <c r="I24" s="75"/>
      <c r="J24" s="75"/>
      <c r="K24" s="13"/>
      <c r="L24" s="13"/>
      <c r="M24" s="13"/>
      <c r="N24" s="13"/>
      <c r="O24" s="13"/>
      <c r="P24" s="1"/>
    </row>
    <row r="25" spans="2:16" ht="21" customHeight="1">
      <c r="B25" s="22"/>
      <c r="C25" s="77" t="s">
        <v>12</v>
      </c>
      <c r="D25" s="38"/>
      <c r="E25" s="76" t="s">
        <v>12</v>
      </c>
      <c r="F25" s="77"/>
      <c r="G25" s="78" t="s">
        <v>12</v>
      </c>
      <c r="H25" s="79"/>
      <c r="I25" s="76" t="s">
        <v>12</v>
      </c>
      <c r="J25" s="80"/>
      <c r="K25" s="13"/>
      <c r="L25" s="13"/>
      <c r="M25" s="13"/>
      <c r="N25" s="13"/>
      <c r="O25" s="13"/>
      <c r="P25" s="1"/>
    </row>
    <row r="26" spans="2:16" ht="27.5" customHeight="1">
      <c r="B26" s="12" t="s">
        <v>11</v>
      </c>
      <c r="C26" s="70">
        <f>D7+(C24*(C14+C15+C16+C17))</f>
        <v>81752</v>
      </c>
      <c r="D26" s="71"/>
      <c r="E26" s="72">
        <f>F7+(C24*(E14+E15+E16+E17))</f>
        <v>307600</v>
      </c>
      <c r="F26" s="73"/>
      <c r="G26" s="74">
        <f>H7+(C24*(G14+G15+G16+G17))</f>
        <v>195800</v>
      </c>
      <c r="H26" s="71"/>
      <c r="I26" s="72">
        <f>J7+(C24*(I14+I15+I16+I17))</f>
        <v>91980</v>
      </c>
      <c r="J26" s="70"/>
      <c r="K26" s="13"/>
      <c r="L26" s="13"/>
      <c r="M26" s="13"/>
      <c r="N26" s="13"/>
      <c r="O26" s="13"/>
      <c r="P26" s="1"/>
    </row>
    <row r="27" spans="2:16" ht="30.5" customHeight="1">
      <c r="B27" s="9" t="s">
        <v>19</v>
      </c>
      <c r="C27" s="70">
        <f>D9+(C24*(C19+C21))</f>
        <v>2850</v>
      </c>
      <c r="D27" s="71"/>
      <c r="E27" s="72">
        <f>F9+(C24*(E19+E20))</f>
        <v>490014.9857026859</v>
      </c>
      <c r="F27" s="73"/>
      <c r="G27" s="74">
        <f>H9+(C24*(G19+G20))</f>
        <v>245016.35229009055</v>
      </c>
      <c r="H27" s="71"/>
      <c r="I27" s="72">
        <f>J9+(C24*(I19+I20))</f>
        <v>24520</v>
      </c>
      <c r="J27" s="70"/>
      <c r="K27" s="13"/>
      <c r="L27" s="13"/>
      <c r="M27" s="13"/>
      <c r="N27" s="13"/>
      <c r="O27" s="13"/>
      <c r="P27" s="1"/>
    </row>
    <row r="28" spans="2:16" ht="21" customHeight="1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"/>
    </row>
    <row r="29" spans="2:16" ht="36.5" customHeight="1">
      <c r="B29" s="6" t="s">
        <v>18</v>
      </c>
      <c r="C29" s="51" t="s">
        <v>2</v>
      </c>
      <c r="D29" s="52"/>
      <c r="E29" s="53" t="s">
        <v>22</v>
      </c>
      <c r="F29" s="54"/>
      <c r="G29" s="55" t="s">
        <v>24</v>
      </c>
      <c r="H29" s="56"/>
      <c r="I29" s="53" t="s">
        <v>23</v>
      </c>
      <c r="J29" s="57"/>
      <c r="K29" s="13"/>
      <c r="L29" s="63"/>
      <c r="M29" s="63"/>
      <c r="N29" s="63"/>
      <c r="O29" s="13"/>
      <c r="P29" s="1"/>
    </row>
    <row r="30" spans="2:16" ht="28.5" customHeight="1">
      <c r="B30" s="21" t="s">
        <v>20</v>
      </c>
      <c r="C30" s="58">
        <f>C27/C26</f>
        <v>3.4861532439573344E-2</v>
      </c>
      <c r="D30" s="59"/>
      <c r="E30" s="60">
        <f>E27/E26</f>
        <v>1.5930266115171843</v>
      </c>
      <c r="F30" s="61"/>
      <c r="G30" s="62">
        <f>G27/G26</f>
        <v>1.2513603283457126</v>
      </c>
      <c r="H30" s="59"/>
      <c r="I30" s="60">
        <f>I27/I26</f>
        <v>0.26657969123722547</v>
      </c>
      <c r="J30" s="58"/>
      <c r="K30" s="13"/>
      <c r="L30" s="69"/>
      <c r="M30" s="69"/>
      <c r="N30" s="69"/>
      <c r="O30" s="13"/>
      <c r="P30" s="1"/>
    </row>
    <row r="31" spans="2:16" ht="15.75" customHeight="1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"/>
    </row>
    <row r="32" spans="2:16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2:16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2:16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2:16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2:16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2:16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2:16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2:16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2:16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2:16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2:16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2:16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2:16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2:16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2:16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2:16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2:16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21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4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</sheetData>
  <mergeCells count="81">
    <mergeCell ref="C17:D17"/>
    <mergeCell ref="E17:F17"/>
    <mergeCell ref="G17:H17"/>
    <mergeCell ref="I17:J17"/>
    <mergeCell ref="C16:D16"/>
    <mergeCell ref="E16:F16"/>
    <mergeCell ref="G16:H16"/>
    <mergeCell ref="I16:J16"/>
    <mergeCell ref="B2:L2"/>
    <mergeCell ref="G4:H4"/>
    <mergeCell ref="C4:D4"/>
    <mergeCell ref="B4:B5"/>
    <mergeCell ref="L5:N5"/>
    <mergeCell ref="E4:F4"/>
    <mergeCell ref="I4:J4"/>
    <mergeCell ref="B11:B12"/>
    <mergeCell ref="C11:D11"/>
    <mergeCell ref="E11:F11"/>
    <mergeCell ref="G11:H11"/>
    <mergeCell ref="I11:J11"/>
    <mergeCell ref="I25:J25"/>
    <mergeCell ref="C23:D23"/>
    <mergeCell ref="E23:F23"/>
    <mergeCell ref="G23:H23"/>
    <mergeCell ref="I23:J23"/>
    <mergeCell ref="L29:N29"/>
    <mergeCell ref="L30:N30"/>
    <mergeCell ref="L18:N18"/>
    <mergeCell ref="I21:J21"/>
    <mergeCell ref="C26:D26"/>
    <mergeCell ref="C27:D27"/>
    <mergeCell ref="E26:F26"/>
    <mergeCell ref="G26:H26"/>
    <mergeCell ref="I26:J26"/>
    <mergeCell ref="E27:F27"/>
    <mergeCell ref="G27:H27"/>
    <mergeCell ref="I27:J27"/>
    <mergeCell ref="C24:J24"/>
    <mergeCell ref="C25:D25"/>
    <mergeCell ref="E25:F25"/>
    <mergeCell ref="G25:H25"/>
    <mergeCell ref="L19:N19"/>
    <mergeCell ref="L20:N20"/>
    <mergeCell ref="C6:J6"/>
    <mergeCell ref="C8:J8"/>
    <mergeCell ref="C13:J13"/>
    <mergeCell ref="C18:J18"/>
    <mergeCell ref="E12:F12"/>
    <mergeCell ref="E14:F14"/>
    <mergeCell ref="E15:F15"/>
    <mergeCell ref="E19:F19"/>
    <mergeCell ref="E20:F20"/>
    <mergeCell ref="I14:J14"/>
    <mergeCell ref="I15:J15"/>
    <mergeCell ref="L12:N12"/>
    <mergeCell ref="L13:N13"/>
    <mergeCell ref="L11:N11"/>
    <mergeCell ref="C29:D29"/>
    <mergeCell ref="E29:F29"/>
    <mergeCell ref="G29:H29"/>
    <mergeCell ref="I29:J29"/>
    <mergeCell ref="C30:D30"/>
    <mergeCell ref="E30:F30"/>
    <mergeCell ref="G30:H30"/>
    <mergeCell ref="I30:J30"/>
    <mergeCell ref="E21:F21"/>
    <mergeCell ref="C12:D12"/>
    <mergeCell ref="G12:H12"/>
    <mergeCell ref="I12:J12"/>
    <mergeCell ref="C14:D14"/>
    <mergeCell ref="C15:D15"/>
    <mergeCell ref="C19:D19"/>
    <mergeCell ref="C20:D20"/>
    <mergeCell ref="C21:D21"/>
    <mergeCell ref="G14:H14"/>
    <mergeCell ref="G15:H15"/>
    <mergeCell ref="G19:H19"/>
    <mergeCell ref="G20:H20"/>
    <mergeCell ref="G21:H21"/>
    <mergeCell ref="I19:J19"/>
    <mergeCell ref="I20:J20"/>
  </mergeCells>
  <printOptions horizontalCentered="1" verticalCentered="1"/>
  <pageMargins left="0.25" right="0.25" top="0.25" bottom="0.25" header="0" footer="0"/>
  <pageSetup scale="9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Budget Shop4Me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Sara Joinis</cp:lastModifiedBy>
  <dcterms:created xsi:type="dcterms:W3CDTF">2016-02-17T05:52:24Z</dcterms:created>
  <dcterms:modified xsi:type="dcterms:W3CDTF">2025-03-20T15:32:21Z</dcterms:modified>
</cp:coreProperties>
</file>