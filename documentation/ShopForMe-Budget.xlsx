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saraj\Documents\T-ESP-902\"/>
    </mc:Choice>
  </mc:AlternateContent>
  <xr:revisionPtr revIDLastSave="0" documentId="13_ncr:1_{17875687-8AFF-4FCE-8627-F15717D84829}" xr6:coauthVersionLast="47" xr6:coauthVersionMax="47" xr10:uidLastSave="{00000000-0000-0000-0000-000000000000}"/>
  <bookViews>
    <workbookView xWindow="-110" yWindow="-110" windowWidth="19420" windowHeight="10300" tabRatio="353" xr2:uid="{00000000-000D-0000-FFFF-FFFF00000000}"/>
  </bookViews>
  <sheets>
    <sheet name="Budget Shop4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CcS2gFILVHN7vNcLFfsk7FmHUDGIqpPzVrxbK4njvoQ="/>
    </ext>
  </extLst>
</workbook>
</file>

<file path=xl/calcChain.xml><?xml version="1.0" encoding="utf-8"?>
<calcChain xmlns="http://schemas.openxmlformats.org/spreadsheetml/2006/main">
  <c r="K22" i="1" l="1"/>
  <c r="J22" i="1"/>
  <c r="I22" i="1"/>
  <c r="H22" i="1"/>
  <c r="G22" i="1"/>
  <c r="F22" i="1"/>
  <c r="E22" i="1"/>
  <c r="D22" i="1"/>
  <c r="C22" i="1"/>
  <c r="K19" i="1"/>
  <c r="K20" i="1" s="1"/>
  <c r="J19" i="1"/>
  <c r="J20" i="1" s="1"/>
  <c r="I19" i="1"/>
  <c r="I20" i="1" s="1"/>
  <c r="I21" i="1" s="1"/>
  <c r="H19" i="1"/>
  <c r="H20" i="1" s="1"/>
  <c r="G19" i="1"/>
  <c r="F19" i="1"/>
  <c r="F20" i="1" s="1"/>
  <c r="F21" i="1" s="1"/>
  <c r="C19" i="1"/>
  <c r="C20" i="1" s="1"/>
  <c r="K14" i="1"/>
  <c r="J14" i="1"/>
  <c r="I14" i="1"/>
  <c r="H14" i="1"/>
  <c r="G14" i="1"/>
  <c r="F14" i="1"/>
  <c r="C14" i="1"/>
  <c r="D14" i="1"/>
  <c r="E14" i="1"/>
  <c r="K13" i="1"/>
  <c r="J13" i="1"/>
  <c r="I13" i="1"/>
  <c r="H13" i="1"/>
  <c r="G13" i="1"/>
  <c r="F13" i="1"/>
  <c r="C13" i="1"/>
  <c r="K21" i="1" l="1"/>
  <c r="G20" i="1"/>
  <c r="G21" i="1" s="1"/>
  <c r="J21" i="1"/>
  <c r="H21" i="1"/>
  <c r="E19" i="1"/>
  <c r="E20" i="1" s="1"/>
  <c r="E21" i="1" s="1"/>
  <c r="D19" i="1"/>
  <c r="D20" i="1" s="1"/>
  <c r="D21" i="1" s="1"/>
  <c r="C21" i="1"/>
  <c r="I15" i="1"/>
  <c r="F15" i="1"/>
  <c r="C15" i="1"/>
  <c r="E13" i="1"/>
  <c r="D13" i="1"/>
  <c r="K8" i="1" l="1"/>
  <c r="K28" i="1" s="1"/>
  <c r="J8" i="1"/>
  <c r="J28" i="1" s="1"/>
  <c r="I8" i="1"/>
  <c r="I28" i="1" s="1"/>
  <c r="K6" i="1"/>
  <c r="K27" i="1" s="1"/>
  <c r="J6" i="1"/>
  <c r="J27" i="1" s="1"/>
  <c r="I6" i="1"/>
  <c r="I27" i="1" s="1"/>
  <c r="H8" i="1"/>
  <c r="H28" i="1" s="1"/>
  <c r="G8" i="1"/>
  <c r="G28" i="1" s="1"/>
  <c r="F8" i="1"/>
  <c r="F28" i="1" s="1"/>
  <c r="H6" i="1"/>
  <c r="H27" i="1" s="1"/>
  <c r="G6" i="1"/>
  <c r="G27" i="1" s="1"/>
  <c r="F6" i="1"/>
  <c r="F27" i="1" s="1"/>
  <c r="D8" i="1"/>
  <c r="D28" i="1" s="1"/>
  <c r="C8" i="1"/>
  <c r="C28" i="1" s="1"/>
  <c r="D6" i="1"/>
  <c r="D27" i="1" s="1"/>
  <c r="C6" i="1"/>
  <c r="C27" i="1" s="1"/>
  <c r="E8" i="1"/>
  <c r="E28" i="1" s="1"/>
  <c r="E6" i="1"/>
  <c r="E27" i="1" s="1"/>
  <c r="G31" i="1" l="1"/>
  <c r="H31" i="1"/>
  <c r="D31" i="1"/>
  <c r="I31" i="1"/>
  <c r="C31" i="1"/>
  <c r="J31" i="1"/>
  <c r="E31" i="1"/>
  <c r="F31" i="1"/>
  <c r="K31" i="1"/>
</calcChain>
</file>

<file path=xl/sharedStrings.xml><?xml version="1.0" encoding="utf-8"?>
<sst xmlns="http://schemas.openxmlformats.org/spreadsheetml/2006/main" count="72" uniqueCount="47">
  <si>
    <t>BUDGET - Identification des coûts et des bénéfices associés à l'application mobile Shop4Me</t>
  </si>
  <si>
    <t>VM (hébergement backend + Docker)</t>
  </si>
  <si>
    <t>Budget mensuel</t>
  </si>
  <si>
    <t>Budget initial</t>
  </si>
  <si>
    <t>Bénéfice(s) perçu(s) par l'équipe Shop4Me</t>
  </si>
  <si>
    <t>Coût(s) pour l'équipe Shop4Me</t>
  </si>
  <si>
    <t>Maintenance</t>
  </si>
  <si>
    <t>Coût(s) totaux pour l'équipe Shop4Me</t>
  </si>
  <si>
    <t xml:space="preserve">NOMBRE DE MOIS </t>
  </si>
  <si>
    <t>Mise en service de l'application (configuration initiale)</t>
  </si>
  <si>
    <t>Achat de cartes ESP-32 (tags)</t>
  </si>
  <si>
    <t>Retour sur investissement</t>
  </si>
  <si>
    <t>Bénéfice(s) totaux perçu(s) par l'équipe Shop4Me</t>
  </si>
  <si>
    <t>Bénéfice(s) totaux / Coût(s) totaux</t>
  </si>
  <si>
    <t>Salaire total équipe (en supposant que l'équipe reste fixe)</t>
  </si>
  <si>
    <t>Prestation (audit) pour assurer la sécurité et la fiabilité de l'application</t>
  </si>
  <si>
    <t>Nombre moyen de tags ESP par magasin</t>
  </si>
  <si>
    <t>Valeurs de référence</t>
  </si>
  <si>
    <t>Mise en service pour 1 enseigne</t>
  </si>
  <si>
    <t>Mise en service pour 2 enseignes</t>
  </si>
  <si>
    <t>Mise en service pour 3 enseignes</t>
  </si>
  <si>
    <t>Grande échelle      (200 magasins)</t>
  </si>
  <si>
    <t>Grande échelle   (400 magasins)</t>
  </si>
  <si>
    <t>Grande échelle    (600 magasins)</t>
  </si>
  <si>
    <t>Petite échelle           (3 magasins)</t>
  </si>
  <si>
    <t>Moyenne échelle           (50 magasins)</t>
  </si>
  <si>
    <t>Moyenne échelle           (100 magasins)</t>
  </si>
  <si>
    <t>Petite échelle        (6 magasins)</t>
  </si>
  <si>
    <t>Moyenne échelle           (150 magasins)</t>
  </si>
  <si>
    <t>Petite échelle             (9 magasins)</t>
  </si>
  <si>
    <t>Salaire d'un membre de l'équipe Shop4Me</t>
  </si>
  <si>
    <t>Prix d'un tag ESP</t>
  </si>
  <si>
    <t>Abonnement payé par les enseignes pour utiliser l'application</t>
  </si>
  <si>
    <t>Prix de la licence d'un tag dégressif en fonction du nombre total de tags (sur l'ensemble des magasins équipés)</t>
  </si>
  <si>
    <t>Quantité de tags</t>
  </si>
  <si>
    <t>Total pour les licences des tags</t>
  </si>
  <si>
    <t>Grande échelle      (400 magasins)</t>
  </si>
  <si>
    <t>Petite échelle           (6 magasins)</t>
  </si>
  <si>
    <t>Grande échelle      (600 magasins)</t>
  </si>
  <si>
    <t>Petite échelle           (9 magasins)</t>
  </si>
  <si>
    <t>Maintenance mensuelle pour un magasin</t>
  </si>
  <si>
    <t>Coût mensuel de la VM pour un magasin</t>
  </si>
  <si>
    <t>Mise en service initiale de l'application par magasin (élaboration de la carte associée)</t>
  </si>
  <si>
    <t>Budget total (sur X mois)</t>
  </si>
  <si>
    <t>Prix mensuel d'une licence pour un tag</t>
  </si>
  <si>
    <t>Partenariats avec des marques souhaitant mettre en avant leurs produits dans l'application (annonces de promotions, etc.)</t>
  </si>
  <si>
    <t>Prix mensuel payé par une marque auprès d'un magasin pour apparaître en recommandation dans Shop4Me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</si>
</sst>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\ &quot;€&quot;"/>
    <numFmt numFmtId="165" formatCode="#,##0.00\ &quot;€&quot;"/>
  </numFmts>
  <fonts count="16">
    <font>
      <sz val="12"/>
      <color theme="1"/>
      <name val="Calibri"/>
      <scheme val="minor"/>
    </font>
    <font>
      <sz val="12"/>
      <color theme="1"/>
      <name val="Arial"/>
      <family val="2"/>
    </font>
    <font>
      <b/>
      <sz val="21"/>
      <color rgb="FF595959"/>
      <name val="&quot;docs-Century Gothic&quot;"/>
    </font>
    <font>
      <b/>
      <sz val="10"/>
      <color theme="0"/>
      <name val="Century Gothic"/>
      <family val="2"/>
    </font>
    <font>
      <b/>
      <sz val="9"/>
      <color theme="0"/>
      <name val="Century Gothic"/>
      <family val="2"/>
    </font>
    <font>
      <b/>
      <sz val="8"/>
      <color theme="0"/>
      <name val="Century Gothic"/>
      <family val="2"/>
    </font>
    <font>
      <b/>
      <sz val="18"/>
      <color theme="4" tint="-0.249977111117893"/>
      <name val="Century Gothic"/>
      <family val="2"/>
    </font>
    <font>
      <sz val="9"/>
      <color theme="1"/>
      <name val="Century Gothic"/>
      <family val="2"/>
    </font>
    <font>
      <b/>
      <sz val="12"/>
      <color theme="1"/>
      <name val="Century Gothic"/>
      <family val="2"/>
    </font>
    <font>
      <b/>
      <sz val="9"/>
      <color theme="1"/>
      <name val="Century Gothic"/>
      <family val="2"/>
    </font>
    <font>
      <sz val="12"/>
      <color theme="1"/>
      <name val="Century Gothic"/>
      <family val="2"/>
    </font>
    <font>
      <i/>
      <sz val="9"/>
      <color theme="1"/>
      <name val="Century Gothic"/>
      <family val="2"/>
    </font>
    <font>
      <b/>
      <sz val="21"/>
      <color rgb="FF595959"/>
      <name val="Century Gothic"/>
      <family val="2"/>
    </font>
    <font>
      <sz val="10"/>
      <color theme="1"/>
      <name val="Century Gothic"/>
      <family val="2"/>
    </font>
    <font>
      <sz val="12"/>
      <color theme="1"/>
      <name val="Calibri"/>
      <family val="2"/>
      <scheme val="minor"/>
    </font>
    <font>
      <b/>
      <sz val="10"/>
      <color theme="1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-0.249977111117893"/>
        <bgColor rgb="FF333F4F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rgb="FF222A35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17911"/>
        <bgColor rgb="FF222A35"/>
      </patternFill>
    </fill>
    <fill>
      <patternFill patternType="solid">
        <fgColor rgb="FFD0CDF3"/>
        <bgColor indexed="64"/>
      </patternFill>
    </fill>
    <fill>
      <patternFill patternType="solid">
        <fgColor rgb="FFB6B2EC"/>
        <bgColor indexed="64"/>
      </patternFill>
    </fill>
  </fills>
  <borders count="22">
    <border>
      <left/>
      <right/>
      <top/>
      <bottom/>
      <diagonal/>
    </border>
    <border>
      <left style="thin">
        <color theme="3" tint="0.499984740745262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3" tint="0.499984740745262"/>
      </left>
      <right/>
      <top style="thin">
        <color theme="3" tint="0.499984740745262"/>
      </top>
      <bottom style="thin">
        <color theme="3" tint="0.499984740745262"/>
      </bottom>
      <diagonal/>
    </border>
    <border>
      <left/>
      <right/>
      <top style="thin">
        <color theme="3" tint="0.499984740745262"/>
      </top>
      <bottom style="thin">
        <color theme="3" tint="0.499984740745262"/>
      </bottom>
      <diagonal/>
    </border>
    <border>
      <left/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3" tint="0.499984740745262"/>
      </left>
      <right style="medium">
        <color theme="1"/>
      </right>
      <top style="thin">
        <color theme="3" tint="0.499984740745262"/>
      </top>
      <bottom style="thin">
        <color theme="3" tint="0.499984740745262"/>
      </bottom>
      <diagonal/>
    </border>
    <border>
      <left/>
      <right style="medium">
        <color theme="1"/>
      </right>
      <top style="thin">
        <color theme="3" tint="0.499984740745262"/>
      </top>
      <bottom style="thin">
        <color theme="3" tint="0.499984740745262"/>
      </bottom>
      <diagonal/>
    </border>
    <border>
      <left style="medium">
        <color theme="1"/>
      </left>
      <right style="thin">
        <color theme="3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medium">
        <color theme="1"/>
      </left>
      <right/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1" tint="0.34998626667073579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theme="1"/>
      </left>
      <right style="thin">
        <color theme="1" tint="0.34998626667073579"/>
      </right>
      <top style="thin">
        <color theme="3" tint="0.499984740745262"/>
      </top>
      <bottom style="thin">
        <color theme="3" tint="0.499984740745262"/>
      </bottom>
      <diagonal/>
    </border>
    <border>
      <left/>
      <right style="thin">
        <color theme="1" tint="0.34998626667073579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1" tint="0.34998626667073579"/>
      </left>
      <right style="medium">
        <color theme="1"/>
      </right>
      <top style="thin">
        <color theme="3" tint="0.499984740745262"/>
      </top>
      <bottom style="thin">
        <color theme="3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3" tint="0.499984740745262"/>
      </top>
      <bottom style="thin">
        <color theme="3" tint="0.499984740745262"/>
      </bottom>
      <diagonal/>
    </border>
    <border>
      <left/>
      <right style="thin">
        <color theme="3" tint="0.499984740745262"/>
      </right>
      <top/>
      <bottom/>
      <diagonal/>
    </border>
    <border>
      <left/>
      <right style="thin">
        <color theme="3" tint="0.499984740745262"/>
      </right>
      <top/>
      <bottom style="thin">
        <color theme="3" tint="0.499984740745262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4" fillId="7" borderId="1" xfId="0" applyFont="1" applyFill="1" applyBorder="1" applyAlignment="1">
      <alignment horizontal="left" vertical="center" wrapText="1"/>
    </xf>
    <xf numFmtId="0" fontId="10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top"/>
    </xf>
    <xf numFmtId="0" fontId="9" fillId="0" borderId="1" xfId="0" applyFont="1" applyBorder="1" applyAlignment="1">
      <alignment horizontal="left" vertical="center" wrapText="1"/>
    </xf>
    <xf numFmtId="0" fontId="9" fillId="9" borderId="1" xfId="0" applyFont="1" applyFill="1" applyBorder="1" applyAlignment="1">
      <alignment vertical="center"/>
    </xf>
    <xf numFmtId="0" fontId="9" fillId="9" borderId="1" xfId="0" applyFont="1" applyFill="1" applyBorder="1" applyAlignment="1">
      <alignment horizontal="left" vertical="center"/>
    </xf>
    <xf numFmtId="0" fontId="9" fillId="0" borderId="0" xfId="0" applyFont="1" applyAlignment="1">
      <alignment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164" fontId="7" fillId="0" borderId="5" xfId="0" applyNumberFormat="1" applyFont="1" applyBorder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164" fontId="7" fillId="0" borderId="7" xfId="0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 wrapText="1"/>
    </xf>
    <xf numFmtId="3" fontId="7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4" borderId="6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164" fontId="7" fillId="10" borderId="1" xfId="1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3" fillId="0" borderId="9" xfId="0" applyFont="1" applyBorder="1" applyAlignment="1">
      <alignment vertical="center"/>
    </xf>
    <xf numFmtId="3" fontId="7" fillId="0" borderId="9" xfId="0" applyNumberFormat="1" applyFont="1" applyBorder="1" applyAlignment="1">
      <alignment vertical="center"/>
    </xf>
    <xf numFmtId="3" fontId="7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10" xfId="0" applyFont="1" applyBorder="1" applyAlignment="1">
      <alignment vertical="center"/>
    </xf>
    <xf numFmtId="3" fontId="7" fillId="0" borderId="11" xfId="0" applyNumberFormat="1" applyFont="1" applyBorder="1" applyAlignment="1">
      <alignment horizontal="center" vertical="center"/>
    </xf>
    <xf numFmtId="0" fontId="11" fillId="14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/>
    </xf>
    <xf numFmtId="0" fontId="11" fillId="14" borderId="6" xfId="0" applyFont="1" applyFill="1" applyBorder="1" applyAlignment="1">
      <alignment horizontal="center" vertical="center"/>
    </xf>
    <xf numFmtId="0" fontId="11" fillId="14" borderId="3" xfId="0" applyFont="1" applyFill="1" applyBorder="1" applyAlignment="1">
      <alignment horizontal="center" vertical="center"/>
    </xf>
    <xf numFmtId="165" fontId="11" fillId="14" borderId="1" xfId="0" applyNumberFormat="1" applyFont="1" applyFill="1" applyBorder="1" applyAlignment="1">
      <alignment horizontal="center" vertical="center"/>
    </xf>
    <xf numFmtId="165" fontId="11" fillId="14" borderId="6" xfId="0" applyNumberFormat="1" applyFont="1" applyFill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4" fontId="7" fillId="0" borderId="16" xfId="0" applyNumberFormat="1" applyFont="1" applyBorder="1" applyAlignment="1">
      <alignment horizontal="center" vertical="center"/>
    </xf>
    <xf numFmtId="164" fontId="7" fillId="0" borderId="15" xfId="0" applyNumberFormat="1" applyFont="1" applyBorder="1" applyAlignment="1">
      <alignment horizontal="center" vertical="center"/>
    </xf>
    <xf numFmtId="164" fontId="7" fillId="0" borderId="17" xfId="0" applyNumberFormat="1" applyFont="1" applyBorder="1" applyAlignment="1">
      <alignment horizontal="center" vertical="center"/>
    </xf>
    <xf numFmtId="4" fontId="11" fillId="0" borderId="11" xfId="0" applyNumberFormat="1" applyFont="1" applyBorder="1" applyAlignment="1">
      <alignment vertical="center"/>
    </xf>
    <xf numFmtId="3" fontId="7" fillId="0" borderId="11" xfId="0" applyNumberFormat="1" applyFont="1" applyBorder="1" applyAlignment="1">
      <alignment vertical="center"/>
    </xf>
    <xf numFmtId="4" fontId="7" fillId="0" borderId="0" xfId="0" applyNumberFormat="1" applyFont="1" applyAlignment="1">
      <alignment vertical="center"/>
    </xf>
    <xf numFmtId="0" fontId="3" fillId="0" borderId="10" xfId="0" applyFont="1" applyBorder="1" applyAlignment="1">
      <alignment vertical="center"/>
    </xf>
    <xf numFmtId="0" fontId="11" fillId="14" borderId="18" xfId="0" applyFont="1" applyFill="1" applyBorder="1" applyAlignment="1">
      <alignment horizontal="center" vertical="center"/>
    </xf>
    <xf numFmtId="0" fontId="11" fillId="14" borderId="19" xfId="0" applyFont="1" applyFill="1" applyBorder="1" applyAlignment="1">
      <alignment horizontal="center" vertical="center"/>
    </xf>
    <xf numFmtId="165" fontId="7" fillId="0" borderId="5" xfId="0" applyNumberFormat="1" applyFont="1" applyBorder="1" applyAlignment="1">
      <alignment horizontal="center" vertical="center"/>
    </xf>
    <xf numFmtId="165" fontId="11" fillId="14" borderId="5" xfId="0" applyNumberFormat="1" applyFont="1" applyFill="1" applyBorder="1" applyAlignment="1">
      <alignment horizontal="center" vertical="center"/>
    </xf>
    <xf numFmtId="165" fontId="11" fillId="14" borderId="18" xfId="0" applyNumberFormat="1" applyFont="1" applyFill="1" applyBorder="1" applyAlignment="1">
      <alignment horizontal="center" vertical="center"/>
    </xf>
    <xf numFmtId="165" fontId="11" fillId="14" borderId="4" xfId="0" applyNumberFormat="1" applyFont="1" applyFill="1" applyBorder="1" applyAlignment="1">
      <alignment horizontal="center" vertical="center"/>
    </xf>
    <xf numFmtId="10" fontId="8" fillId="12" borderId="1" xfId="0" applyNumberFormat="1" applyFont="1" applyFill="1" applyBorder="1" applyAlignment="1">
      <alignment horizontal="center" vertical="center"/>
    </xf>
    <xf numFmtId="10" fontId="8" fillId="12" borderId="5" xfId="0" applyNumberFormat="1" applyFont="1" applyFill="1" applyBorder="1" applyAlignment="1">
      <alignment horizontal="center" vertical="center"/>
    </xf>
    <xf numFmtId="10" fontId="8" fillId="12" borderId="4" xfId="0" applyNumberFormat="1" applyFont="1" applyFill="1" applyBorder="1" applyAlignment="1">
      <alignment horizontal="center" vertical="center"/>
    </xf>
    <xf numFmtId="164" fontId="15" fillId="16" borderId="1" xfId="0" applyNumberFormat="1" applyFont="1" applyFill="1" applyBorder="1" applyAlignment="1">
      <alignment horizontal="center" vertical="center"/>
    </xf>
    <xf numFmtId="164" fontId="15" fillId="16" borderId="5" xfId="0" applyNumberFormat="1" applyFont="1" applyFill="1" applyBorder="1" applyAlignment="1">
      <alignment horizontal="center" vertical="center"/>
    </xf>
    <xf numFmtId="164" fontId="15" fillId="16" borderId="6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9" borderId="2" xfId="0" applyFont="1" applyFill="1" applyBorder="1" applyAlignment="1">
      <alignment horizontal="left" vertical="center" wrapText="1"/>
    </xf>
    <xf numFmtId="0" fontId="9" fillId="9" borderId="3" xfId="0" applyFont="1" applyFill="1" applyBorder="1" applyAlignment="1">
      <alignment horizontal="left" vertical="center" wrapText="1"/>
    </xf>
    <xf numFmtId="0" fontId="9" fillId="9" borderId="4" xfId="0" applyFont="1" applyFill="1" applyBorder="1" applyAlignment="1">
      <alignment horizontal="left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9" fillId="13" borderId="2" xfId="0" applyFont="1" applyFill="1" applyBorder="1" applyAlignment="1">
      <alignment horizontal="left" vertical="center" wrapText="1"/>
    </xf>
    <xf numFmtId="0" fontId="9" fillId="13" borderId="3" xfId="0" applyFont="1" applyFill="1" applyBorder="1" applyAlignment="1">
      <alignment horizontal="left" vertical="center" wrapText="1"/>
    </xf>
    <xf numFmtId="0" fontId="9" fillId="13" borderId="4" xfId="0" applyFont="1" applyFill="1" applyBorder="1" applyAlignment="1">
      <alignment horizontal="left" vertical="center" wrapText="1"/>
    </xf>
    <xf numFmtId="164" fontId="7" fillId="0" borderId="2" xfId="0" applyNumberFormat="1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15" borderId="12" xfId="0" applyFont="1" applyFill="1" applyBorder="1" applyAlignment="1">
      <alignment horizontal="center" vertical="center" wrapText="1"/>
    </xf>
    <xf numFmtId="0" fontId="3" fillId="15" borderId="13" xfId="0" applyFont="1" applyFill="1" applyBorder="1" applyAlignment="1">
      <alignment horizontal="center" vertical="center" wrapText="1"/>
    </xf>
    <xf numFmtId="0" fontId="3" fillId="15" borderId="14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/>
    </xf>
    <xf numFmtId="0" fontId="3" fillId="6" borderId="4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0" fontId="8" fillId="17" borderId="3" xfId="0" applyFont="1" applyFill="1" applyBorder="1" applyAlignment="1">
      <alignment horizontal="center" vertical="center"/>
    </xf>
  </cellXfs>
  <cellStyles count="2">
    <cellStyle name="Monétaire" xfId="1" builtinId="4"/>
    <cellStyle name="Normal" xfId="0" builtinId="0"/>
  </cellStyles>
  <dxfs count="0"/>
  <tableStyles count="0" defaultTableStyle="TableStyleMedium2" defaultPivotStyle="PivotStyleLight16"/>
  <colors>
    <mruColors>
      <color rgb="FFB6B2EC"/>
      <color rgb="FFD0CDF3"/>
      <color rgb="FFC7C5F1"/>
      <color rgb="FFFAD2BC"/>
      <color rgb="FFE17911"/>
      <color rgb="FFDF6613"/>
      <color rgb="FF7F57B9"/>
      <color rgb="FF7536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F6000"/>
  </sheetPr>
  <dimension ref="A1:S961"/>
  <sheetViews>
    <sheetView showGridLines="0" tabSelected="1" topLeftCell="D1" zoomScale="85" zoomScaleNormal="85" workbookViewId="0">
      <pane ySplit="1" topLeftCell="A11" activePane="bottomLeft" state="frozen"/>
      <selection pane="bottomLeft" activeCell="F33" sqref="F33"/>
    </sheetView>
  </sheetViews>
  <sheetFormatPr baseColWidth="10" defaultColWidth="11.25" defaultRowHeight="15" customHeight="1"/>
  <cols>
    <col min="1" max="1" width="1.75" customWidth="1"/>
    <col min="2" max="2" width="46.83203125" customWidth="1"/>
    <col min="3" max="4" width="15.75" customWidth="1"/>
    <col min="5" max="5" width="15.5" customWidth="1"/>
    <col min="6" max="7" width="15.1640625" customWidth="1"/>
    <col min="8" max="8" width="14.83203125" customWidth="1"/>
    <col min="9" max="10" width="15.58203125" customWidth="1"/>
    <col min="11" max="11" width="15.6640625" customWidth="1"/>
    <col min="12" max="12" width="4.33203125" customWidth="1"/>
    <col min="13" max="13" width="13.75" customWidth="1"/>
    <col min="14" max="14" width="3" customWidth="1"/>
    <col min="15" max="15" width="27.5" customWidth="1"/>
    <col min="16" max="16" width="10.33203125" customWidth="1"/>
    <col min="17" max="17" width="13.08203125" customWidth="1"/>
    <col min="18" max="18" width="7.83203125" customWidth="1"/>
    <col min="19" max="19" width="8.1640625" customWidth="1"/>
  </cols>
  <sheetData>
    <row r="1" spans="1:19" ht="49.5" customHeight="1">
      <c r="A1" s="1"/>
      <c r="B1" s="15" t="s">
        <v>0</v>
      </c>
      <c r="C1" s="2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21.5" customHeight="1">
      <c r="A2" s="1"/>
      <c r="B2" s="16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8"/>
      <c r="Q2" s="8"/>
      <c r="R2" s="8"/>
      <c r="S2" s="1"/>
    </row>
    <row r="3" spans="1:19" ht="35.5" customHeight="1">
      <c r="B3" s="88" t="s">
        <v>3</v>
      </c>
      <c r="C3" s="85" t="s">
        <v>18</v>
      </c>
      <c r="D3" s="86"/>
      <c r="E3" s="87"/>
      <c r="F3" s="85" t="s">
        <v>19</v>
      </c>
      <c r="G3" s="86"/>
      <c r="H3" s="87"/>
      <c r="I3" s="85" t="s">
        <v>20</v>
      </c>
      <c r="J3" s="85"/>
      <c r="K3" s="85"/>
      <c r="L3" s="32"/>
      <c r="M3" s="90" t="s">
        <v>17</v>
      </c>
      <c r="N3" s="91"/>
      <c r="O3" s="91"/>
      <c r="P3" s="92"/>
      <c r="S3" s="1"/>
    </row>
    <row r="4" spans="1:19" ht="36" customHeight="1">
      <c r="B4" s="89"/>
      <c r="C4" s="12" t="s">
        <v>21</v>
      </c>
      <c r="D4" s="29" t="s">
        <v>25</v>
      </c>
      <c r="E4" s="33" t="s">
        <v>24</v>
      </c>
      <c r="F4" s="12" t="s">
        <v>22</v>
      </c>
      <c r="G4" s="29" t="s">
        <v>26</v>
      </c>
      <c r="H4" s="33" t="s">
        <v>27</v>
      </c>
      <c r="I4" s="12" t="s">
        <v>23</v>
      </c>
      <c r="J4" s="29" t="s">
        <v>28</v>
      </c>
      <c r="K4" s="34" t="s">
        <v>29</v>
      </c>
      <c r="L4" s="28"/>
      <c r="S4" s="1"/>
    </row>
    <row r="5" spans="1:19" ht="26.5" customHeight="1">
      <c r="B5" s="4" t="s">
        <v>5</v>
      </c>
      <c r="C5" s="72"/>
      <c r="D5" s="73"/>
      <c r="E5" s="73"/>
      <c r="F5" s="73"/>
      <c r="G5" s="73"/>
      <c r="H5" s="73"/>
      <c r="I5" s="73"/>
      <c r="J5" s="73"/>
      <c r="K5" s="73"/>
      <c r="L5" s="20"/>
      <c r="S5" s="1"/>
    </row>
    <row r="6" spans="1:19" ht="19.5" customHeight="1">
      <c r="B6" s="17" t="s">
        <v>10</v>
      </c>
      <c r="C6" s="21">
        <f>200*P7*P6</f>
        <v>150000</v>
      </c>
      <c r="D6" s="26">
        <f>50*P7*P6</f>
        <v>37500</v>
      </c>
      <c r="E6" s="22">
        <f>3*P7*P6</f>
        <v>2250</v>
      </c>
      <c r="F6" s="23">
        <f>400*P7*P6</f>
        <v>300000</v>
      </c>
      <c r="G6" s="31">
        <f>100*P7*P6</f>
        <v>75000</v>
      </c>
      <c r="H6" s="24">
        <f>6*P7*P6</f>
        <v>4500</v>
      </c>
      <c r="I6" s="25">
        <f>600*P7*P6</f>
        <v>450000</v>
      </c>
      <c r="J6" s="23">
        <f>150*P7*P6</f>
        <v>112500</v>
      </c>
      <c r="K6" s="30">
        <f>9*P7*P6</f>
        <v>6750</v>
      </c>
      <c r="L6" s="27"/>
      <c r="M6" s="93" t="s">
        <v>31</v>
      </c>
      <c r="N6" s="94"/>
      <c r="O6" s="95"/>
      <c r="P6" s="36">
        <v>50</v>
      </c>
      <c r="S6" s="1"/>
    </row>
    <row r="7" spans="1:19" ht="26.5" customHeight="1">
      <c r="B7" s="5" t="s">
        <v>4</v>
      </c>
      <c r="C7" s="72"/>
      <c r="D7" s="73"/>
      <c r="E7" s="73"/>
      <c r="F7" s="73"/>
      <c r="G7" s="73"/>
      <c r="H7" s="73"/>
      <c r="I7" s="73"/>
      <c r="J7" s="73"/>
      <c r="K7" s="73"/>
      <c r="L7" s="20"/>
      <c r="M7" s="19" t="s">
        <v>16</v>
      </c>
      <c r="N7" s="19"/>
      <c r="O7" s="19"/>
      <c r="P7" s="11">
        <v>15</v>
      </c>
      <c r="S7" s="1"/>
    </row>
    <row r="8" spans="1:19" ht="28" customHeight="1">
      <c r="B8" s="17" t="s">
        <v>9</v>
      </c>
      <c r="C8" s="21">
        <f>200*P8</f>
        <v>20000</v>
      </c>
      <c r="D8" s="26">
        <f>50*P8</f>
        <v>5000</v>
      </c>
      <c r="E8" s="22">
        <f>3*P8</f>
        <v>300</v>
      </c>
      <c r="F8" s="23">
        <f>400*P8</f>
        <v>40000</v>
      </c>
      <c r="G8" s="31">
        <f>100*P8</f>
        <v>10000</v>
      </c>
      <c r="H8" s="24">
        <f>6*P8</f>
        <v>600</v>
      </c>
      <c r="I8" s="25">
        <f>600*P8</f>
        <v>60000</v>
      </c>
      <c r="J8" s="23">
        <f>150*P8</f>
        <v>15000</v>
      </c>
      <c r="K8" s="30">
        <f>9*P8</f>
        <v>900</v>
      </c>
      <c r="L8" s="27"/>
      <c r="M8" s="74" t="s">
        <v>42</v>
      </c>
      <c r="N8" s="75"/>
      <c r="O8" s="76"/>
      <c r="P8" s="37">
        <v>100</v>
      </c>
      <c r="Q8" s="20"/>
      <c r="R8" s="10"/>
      <c r="S8" s="1"/>
    </row>
    <row r="9" spans="1:19" ht="26" customHeight="1"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"/>
    </row>
    <row r="10" spans="1:19" ht="35" customHeight="1">
      <c r="B10" s="88" t="s">
        <v>2</v>
      </c>
      <c r="C10" s="85" t="s">
        <v>18</v>
      </c>
      <c r="D10" s="86"/>
      <c r="E10" s="87"/>
      <c r="F10" s="96" t="s">
        <v>19</v>
      </c>
      <c r="G10" s="97"/>
      <c r="H10" s="98"/>
      <c r="I10" s="99" t="s">
        <v>20</v>
      </c>
      <c r="J10" s="97"/>
      <c r="K10" s="98"/>
      <c r="L10" s="40"/>
      <c r="S10" s="1"/>
    </row>
    <row r="11" spans="1:19" ht="35.5" customHeight="1">
      <c r="B11" s="89"/>
      <c r="C11" s="12" t="s">
        <v>21</v>
      </c>
      <c r="D11" s="29" t="s">
        <v>25</v>
      </c>
      <c r="E11" s="33" t="s">
        <v>24</v>
      </c>
      <c r="F11" s="12" t="s">
        <v>36</v>
      </c>
      <c r="G11" s="29" t="s">
        <v>26</v>
      </c>
      <c r="H11" s="33" t="s">
        <v>37</v>
      </c>
      <c r="I11" s="12" t="s">
        <v>38</v>
      </c>
      <c r="J11" s="29" t="s">
        <v>28</v>
      </c>
      <c r="K11" s="29" t="s">
        <v>39</v>
      </c>
      <c r="L11" s="39"/>
      <c r="S11" s="1"/>
    </row>
    <row r="12" spans="1:19" ht="21" customHeight="1">
      <c r="B12" s="7" t="s">
        <v>5</v>
      </c>
      <c r="C12" s="72"/>
      <c r="D12" s="73"/>
      <c r="E12" s="73"/>
      <c r="F12" s="73"/>
      <c r="G12" s="73"/>
      <c r="H12" s="73"/>
      <c r="I12" s="73"/>
      <c r="J12" s="73"/>
      <c r="K12" s="73"/>
      <c r="L12" s="20"/>
    </row>
    <row r="13" spans="1:19" ht="19" customHeight="1">
      <c r="B13" s="17" t="s">
        <v>1</v>
      </c>
      <c r="C13" s="30">
        <f>0.25*(P13*200)</f>
        <v>1500</v>
      </c>
      <c r="D13" s="30">
        <f>0.25*(P13*50)</f>
        <v>375</v>
      </c>
      <c r="E13" s="38">
        <f>0.25*(P13*3)</f>
        <v>22.5</v>
      </c>
      <c r="F13" s="25">
        <f>0.25*(P13*400)</f>
        <v>3000</v>
      </c>
      <c r="G13" s="53">
        <f>0.25*(P13*100)</f>
        <v>750</v>
      </c>
      <c r="H13" s="38">
        <f>0.25*(P13*6)</f>
        <v>45</v>
      </c>
      <c r="I13" s="54">
        <f>0.25*(P13*600)</f>
        <v>4500</v>
      </c>
      <c r="J13" s="53">
        <f>0.25*(P13*150)</f>
        <v>1125</v>
      </c>
      <c r="K13" s="31">
        <f>0.25*(P13*9)</f>
        <v>67.5</v>
      </c>
      <c r="L13" s="41"/>
      <c r="M13" s="79" t="s">
        <v>41</v>
      </c>
      <c r="N13" s="80"/>
      <c r="O13" s="81"/>
      <c r="P13" s="36">
        <v>30</v>
      </c>
      <c r="R13" s="9"/>
      <c r="S13" s="1"/>
    </row>
    <row r="14" spans="1:19" ht="19.5" customHeight="1">
      <c r="B14" s="17" t="s">
        <v>6</v>
      </c>
      <c r="C14" s="30">
        <f>P14*200</f>
        <v>3000</v>
      </c>
      <c r="D14" s="30">
        <f>P14*50</f>
        <v>750</v>
      </c>
      <c r="E14" s="38">
        <f>P14*3</f>
        <v>45</v>
      </c>
      <c r="F14" s="54">
        <f>P14*400</f>
        <v>6000</v>
      </c>
      <c r="G14" s="53">
        <f>P14*100</f>
        <v>1500</v>
      </c>
      <c r="H14" s="55">
        <f>P14*6</f>
        <v>90</v>
      </c>
      <c r="I14" s="54">
        <f>P14*600</f>
        <v>9000</v>
      </c>
      <c r="J14" s="53">
        <f>P14*150</f>
        <v>2250</v>
      </c>
      <c r="K14" s="31">
        <f>P14*9</f>
        <v>135</v>
      </c>
      <c r="L14" s="41"/>
      <c r="M14" s="18" t="s">
        <v>40</v>
      </c>
      <c r="N14" s="18"/>
      <c r="O14" s="18"/>
      <c r="P14" s="36">
        <v>15</v>
      </c>
      <c r="R14" s="9"/>
      <c r="S14" s="1"/>
    </row>
    <row r="15" spans="1:19" ht="20" customHeight="1">
      <c r="B15" s="17" t="s">
        <v>14</v>
      </c>
      <c r="C15" s="82">
        <f>9*P15</f>
        <v>12600</v>
      </c>
      <c r="D15" s="83"/>
      <c r="E15" s="84"/>
      <c r="F15" s="82">
        <f>9*P15</f>
        <v>12600</v>
      </c>
      <c r="G15" s="83"/>
      <c r="H15" s="84"/>
      <c r="I15" s="82">
        <f>9*P15</f>
        <v>12600</v>
      </c>
      <c r="J15" s="83"/>
      <c r="K15" s="83"/>
      <c r="L15" s="41"/>
      <c r="M15" s="18" t="s">
        <v>30</v>
      </c>
      <c r="N15" s="18"/>
      <c r="O15" s="18"/>
      <c r="P15" s="36">
        <v>1400</v>
      </c>
    </row>
    <row r="16" spans="1:19" ht="31" customHeight="1">
      <c r="B16" s="17" t="s">
        <v>15</v>
      </c>
      <c r="C16" s="82">
        <v>200</v>
      </c>
      <c r="D16" s="83"/>
      <c r="E16" s="84"/>
      <c r="F16" s="82">
        <v>200</v>
      </c>
      <c r="G16" s="83"/>
      <c r="H16" s="84"/>
      <c r="I16" s="82">
        <v>200</v>
      </c>
      <c r="J16" s="83"/>
      <c r="K16" s="83"/>
      <c r="L16" s="41"/>
      <c r="M16" s="42"/>
      <c r="N16" s="8"/>
      <c r="R16" s="9"/>
      <c r="S16" s="1"/>
    </row>
    <row r="17" spans="2:19" ht="21" customHeight="1">
      <c r="B17" s="5" t="s">
        <v>4</v>
      </c>
      <c r="C17" s="72"/>
      <c r="D17" s="73"/>
      <c r="E17" s="73"/>
      <c r="F17" s="73"/>
      <c r="G17" s="73"/>
      <c r="H17" s="73"/>
      <c r="I17" s="73"/>
      <c r="J17" s="73"/>
      <c r="K17" s="73"/>
      <c r="L17" s="20"/>
      <c r="M17" s="20"/>
      <c r="N17" s="8"/>
      <c r="O17" s="10"/>
      <c r="P17" s="10"/>
      <c r="Q17" s="10"/>
      <c r="R17" s="9"/>
      <c r="S17" s="1"/>
    </row>
    <row r="18" spans="2:19" ht="21.5" customHeight="1">
      <c r="B18" s="17" t="s">
        <v>32</v>
      </c>
      <c r="C18" s="82">
        <v>500</v>
      </c>
      <c r="D18" s="83"/>
      <c r="E18" s="84"/>
      <c r="F18" s="83">
        <v>1000</v>
      </c>
      <c r="G18" s="83"/>
      <c r="H18" s="83"/>
      <c r="I18" s="100">
        <v>1500</v>
      </c>
      <c r="J18" s="83"/>
      <c r="K18" s="83"/>
      <c r="L18" s="57"/>
      <c r="M18" s="42"/>
      <c r="N18" s="8"/>
      <c r="O18" s="10"/>
      <c r="P18" s="10"/>
      <c r="Q18" s="10"/>
      <c r="R18" s="9"/>
      <c r="S18" s="10"/>
    </row>
    <row r="19" spans="2:19" ht="19.5" customHeight="1">
      <c r="B19" s="46" t="s">
        <v>34</v>
      </c>
      <c r="C19" s="47">
        <f>200*P7</f>
        <v>3000</v>
      </c>
      <c r="D19" s="47">
        <f>50*P7</f>
        <v>750</v>
      </c>
      <c r="E19" s="48">
        <f>3*P7</f>
        <v>45</v>
      </c>
      <c r="F19" s="60">
        <f>400*P7</f>
        <v>6000</v>
      </c>
      <c r="G19" s="61">
        <f>100*P7</f>
        <v>1500</v>
      </c>
      <c r="H19" s="49">
        <f>6*P7</f>
        <v>90</v>
      </c>
      <c r="I19" s="60">
        <f>600*P7</f>
        <v>9000</v>
      </c>
      <c r="J19" s="61">
        <f>150*P7</f>
        <v>2250</v>
      </c>
      <c r="K19" s="49">
        <f>9*P7</f>
        <v>135</v>
      </c>
      <c r="L19" s="45"/>
      <c r="M19" s="27"/>
      <c r="N19" s="8"/>
      <c r="O19" s="9"/>
      <c r="P19" s="9"/>
      <c r="Q19" s="9"/>
      <c r="R19" s="9"/>
      <c r="S19" s="10"/>
    </row>
    <row r="20" spans="2:19" ht="33.5" customHeight="1">
      <c r="B20" s="46" t="s">
        <v>33</v>
      </c>
      <c r="C20" s="50">
        <f>IF(C19&lt;500, P20, P20/LOG(C19, 500))</f>
        <v>3.8810409626534854</v>
      </c>
      <c r="D20" s="50">
        <f>IF(D19&lt;500, P20, P20/LOG(D19, 500))</f>
        <v>4.6937608577287371</v>
      </c>
      <c r="E20" s="51">
        <f>IF(E19&lt;500, P20, P20/LOG(E19, 500))</f>
        <v>5</v>
      </c>
      <c r="F20" s="65">
        <f>IF(F19&lt;500, P20, P20/LOG(F19, 500))</f>
        <v>3.5718130713559422</v>
      </c>
      <c r="G20" s="50">
        <f>IF(G19&lt;500, P20, P20/LOG(G19, 500))</f>
        <v>4.2488861059025105</v>
      </c>
      <c r="H20" s="63">
        <f>IF(H19&lt;500, P20, P20/LOG(H19, 500))</f>
        <v>5</v>
      </c>
      <c r="I20" s="64">
        <f>IF(I19&lt;500, P20, P20/LOG(I19, 500))</f>
        <v>3.4127522501379253</v>
      </c>
      <c r="J20" s="65">
        <f>IF(J19&lt;500, P20, P20/LOG(J19, 500))</f>
        <v>4.0256907100879351</v>
      </c>
      <c r="K20" s="50">
        <f>IF(K19&lt;500, P20, P20/LOG(K19, 500))</f>
        <v>5</v>
      </c>
      <c r="L20" s="56"/>
      <c r="M20" s="19" t="s">
        <v>44</v>
      </c>
      <c r="N20" s="19"/>
      <c r="O20" s="19"/>
      <c r="P20" s="35">
        <v>5</v>
      </c>
      <c r="Q20" s="10"/>
      <c r="R20" s="9"/>
      <c r="S20" s="10"/>
    </row>
    <row r="21" spans="2:19" ht="21" customHeight="1">
      <c r="B21" s="17" t="s">
        <v>35</v>
      </c>
      <c r="C21" s="52">
        <f t="shared" ref="C21:K21" si="0">C19*C20</f>
        <v>11643.122887960457</v>
      </c>
      <c r="D21" s="52">
        <f t="shared" si="0"/>
        <v>3520.3206432965526</v>
      </c>
      <c r="E21" s="62">
        <f t="shared" si="0"/>
        <v>225</v>
      </c>
      <c r="F21" s="52">
        <f t="shared" si="0"/>
        <v>21430.878428135653</v>
      </c>
      <c r="G21" s="52">
        <f t="shared" si="0"/>
        <v>6373.3291588537659</v>
      </c>
      <c r="H21" s="62">
        <f t="shared" si="0"/>
        <v>450</v>
      </c>
      <c r="I21" s="52">
        <f t="shared" si="0"/>
        <v>30714.770251241327</v>
      </c>
      <c r="J21" s="52">
        <f t="shared" si="0"/>
        <v>9057.8040976978536</v>
      </c>
      <c r="K21" s="52">
        <f t="shared" si="0"/>
        <v>675</v>
      </c>
      <c r="L21" s="58"/>
      <c r="M21" s="58"/>
      <c r="N21" s="8"/>
      <c r="O21" s="9"/>
      <c r="P21" s="9"/>
      <c r="Q21" s="9"/>
      <c r="R21" s="9"/>
      <c r="S21" s="10"/>
    </row>
    <row r="22" spans="2:19" ht="36" customHeight="1">
      <c r="B22" s="17" t="s">
        <v>45</v>
      </c>
      <c r="C22" s="52">
        <f>P22*200</f>
        <v>4000</v>
      </c>
      <c r="D22" s="52">
        <f>P22*50</f>
        <v>1000</v>
      </c>
      <c r="E22" s="62">
        <f>P22*3</f>
        <v>60</v>
      </c>
      <c r="F22" s="52">
        <f>P22*400</f>
        <v>8000</v>
      </c>
      <c r="G22" s="52">
        <f>P22*100</f>
        <v>2000</v>
      </c>
      <c r="H22" s="62">
        <f>P22*6</f>
        <v>120</v>
      </c>
      <c r="I22" s="52">
        <f>P22*600</f>
        <v>12000</v>
      </c>
      <c r="J22" s="52">
        <f>P22*150</f>
        <v>3000</v>
      </c>
      <c r="K22" s="52">
        <f>P22*9</f>
        <v>180</v>
      </c>
      <c r="L22" s="58"/>
      <c r="M22" s="74" t="s">
        <v>46</v>
      </c>
      <c r="N22" s="75"/>
      <c r="O22" s="76"/>
      <c r="P22" s="35">
        <v>20</v>
      </c>
      <c r="Q22" s="9"/>
      <c r="R22" s="9"/>
      <c r="S22" s="10"/>
    </row>
    <row r="23" spans="2:19" ht="27.5" customHeight="1">
      <c r="C23" s="8"/>
      <c r="D23" s="8"/>
      <c r="E23" s="6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1"/>
    </row>
    <row r="24" spans="2:19" ht="37.5" customHeight="1">
      <c r="B24" s="77" t="s">
        <v>43</v>
      </c>
      <c r="C24" s="86" t="s">
        <v>18</v>
      </c>
      <c r="D24" s="104"/>
      <c r="E24" s="105"/>
      <c r="F24" s="96" t="s">
        <v>19</v>
      </c>
      <c r="G24" s="97"/>
      <c r="H24" s="98"/>
      <c r="I24" s="99" t="s">
        <v>20</v>
      </c>
      <c r="J24" s="97"/>
      <c r="K24" s="98"/>
      <c r="L24" s="59"/>
      <c r="M24" s="32"/>
      <c r="N24" s="8"/>
      <c r="O24" s="8"/>
      <c r="P24" s="8"/>
      <c r="Q24" s="8"/>
      <c r="R24" s="8"/>
      <c r="S24" s="1"/>
    </row>
    <row r="25" spans="2:19" ht="37.5" customHeight="1">
      <c r="B25" s="78"/>
      <c r="C25" s="12" t="s">
        <v>21</v>
      </c>
      <c r="D25" s="29" t="s">
        <v>25</v>
      </c>
      <c r="E25" s="33" t="s">
        <v>24</v>
      </c>
      <c r="F25" s="12" t="s">
        <v>36</v>
      </c>
      <c r="G25" s="29" t="s">
        <v>26</v>
      </c>
      <c r="H25" s="33" t="s">
        <v>37</v>
      </c>
      <c r="I25" s="12" t="s">
        <v>38</v>
      </c>
      <c r="J25" s="29" t="s">
        <v>28</v>
      </c>
      <c r="K25" s="29" t="s">
        <v>39</v>
      </c>
      <c r="L25" s="59"/>
      <c r="M25" s="32"/>
      <c r="N25" s="8"/>
      <c r="O25" s="8"/>
      <c r="P25" s="8"/>
      <c r="Q25" s="8"/>
      <c r="R25" s="8"/>
      <c r="S25" s="1"/>
    </row>
    <row r="26" spans="2:19" ht="30.5" customHeight="1">
      <c r="B26" s="12" t="s">
        <v>8</v>
      </c>
      <c r="C26" s="110">
        <v>31</v>
      </c>
      <c r="D26" s="111"/>
      <c r="E26" s="111"/>
      <c r="F26" s="111"/>
      <c r="G26" s="111"/>
      <c r="H26" s="111"/>
      <c r="I26" s="111"/>
      <c r="J26" s="111"/>
      <c r="K26" s="111"/>
      <c r="L26" s="44"/>
      <c r="M26" s="43"/>
      <c r="N26" s="8"/>
      <c r="O26" s="8"/>
      <c r="P26" s="8"/>
      <c r="Q26" s="8"/>
      <c r="R26" s="8"/>
      <c r="S26" s="1"/>
    </row>
    <row r="27" spans="2:19" ht="27.5" customHeight="1">
      <c r="B27" s="7" t="s">
        <v>7</v>
      </c>
      <c r="C27" s="69">
        <f>C6+C26*(C13+C14+C15+C16)</f>
        <v>686300</v>
      </c>
      <c r="D27" s="69">
        <f>D6+C26*(D13+D14+C15+C16)</f>
        <v>469175</v>
      </c>
      <c r="E27" s="70">
        <f>E6+C26*(E13+E14+C15+C16)</f>
        <v>401142.5</v>
      </c>
      <c r="F27" s="69">
        <f>F6+C26*(F13+F14+F15+F16)</f>
        <v>975800</v>
      </c>
      <c r="G27" s="69">
        <f>G6+C26*(G13+G14+F15+F16)</f>
        <v>541550</v>
      </c>
      <c r="H27" s="70">
        <f>H6+C26*(H13+H14+F15+F16)</f>
        <v>405485</v>
      </c>
      <c r="I27" s="69">
        <f>I6+C26*(I13+I14+I15+I16)</f>
        <v>1265300</v>
      </c>
      <c r="J27" s="69">
        <f>J6+C26*(J13+J14+I15+I16)</f>
        <v>613925</v>
      </c>
      <c r="K27" s="69">
        <f>K6+C26*(K13+K14+I15+I16)</f>
        <v>409827.5</v>
      </c>
      <c r="L27" s="103"/>
      <c r="M27" s="103"/>
      <c r="N27" s="8"/>
      <c r="O27" s="8"/>
      <c r="P27" s="8"/>
      <c r="Q27" s="8"/>
      <c r="R27" s="8"/>
      <c r="S27" s="1"/>
    </row>
    <row r="28" spans="2:19" ht="30.5" customHeight="1">
      <c r="B28" s="5" t="s">
        <v>12</v>
      </c>
      <c r="C28" s="69">
        <f>C8+C26*(C18+C21+C22)</f>
        <v>520436.80952677416</v>
      </c>
      <c r="D28" s="69">
        <f>D8+C26*(C18+D21+D22)</f>
        <v>160629.93994219313</v>
      </c>
      <c r="E28" s="71">
        <f>E8+C26*(C18+E21+E22)</f>
        <v>24635</v>
      </c>
      <c r="F28" s="69">
        <f>F8+C26*(F18+F21+F22)</f>
        <v>983357.23127220524</v>
      </c>
      <c r="G28" s="69">
        <f>G8+C26*(F18+G21+G22)</f>
        <v>300573.20392446674</v>
      </c>
      <c r="H28" s="71">
        <f>H8+C26*(F18+H21+H22)</f>
        <v>49270</v>
      </c>
      <c r="I28" s="69">
        <f>I8+C26*(I18+I21+I22)</f>
        <v>1430657.8777884811</v>
      </c>
      <c r="J28" s="69">
        <f>J8+C26*(I18+J21+J22)</f>
        <v>435291.92702863348</v>
      </c>
      <c r="K28" s="69">
        <f>K8+C26*(I18+K21+K22)</f>
        <v>73905</v>
      </c>
      <c r="L28" s="103"/>
      <c r="M28" s="103"/>
      <c r="N28" s="8"/>
      <c r="O28" s="8"/>
      <c r="P28" s="8"/>
      <c r="Q28" s="8"/>
      <c r="R28" s="8"/>
      <c r="S28" s="1"/>
    </row>
    <row r="29" spans="2:19" ht="21" customHeight="1"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1"/>
    </row>
    <row r="30" spans="2:19" ht="38.5" customHeight="1">
      <c r="B30" s="3" t="s">
        <v>11</v>
      </c>
      <c r="C30" s="86" t="s">
        <v>18</v>
      </c>
      <c r="D30" s="104"/>
      <c r="E30" s="105"/>
      <c r="F30" s="96" t="s">
        <v>19</v>
      </c>
      <c r="G30" s="97"/>
      <c r="H30" s="98"/>
      <c r="I30" s="99" t="s">
        <v>20</v>
      </c>
      <c r="J30" s="97"/>
      <c r="K30" s="98"/>
      <c r="L30" s="106"/>
      <c r="M30" s="107"/>
      <c r="N30" s="8"/>
      <c r="O30" s="101"/>
      <c r="P30" s="101"/>
      <c r="Q30" s="101"/>
      <c r="R30" s="8"/>
      <c r="S30" s="1"/>
    </row>
    <row r="31" spans="2:19" ht="48.5" customHeight="1">
      <c r="B31" s="13" t="s">
        <v>13</v>
      </c>
      <c r="C31" s="66">
        <f>C28/C27</f>
        <v>0.7583226133276616</v>
      </c>
      <c r="D31" s="66">
        <f>D28/D27</f>
        <v>0.34236679265134146</v>
      </c>
      <c r="E31" s="67">
        <f t="shared" ref="E31:K31" si="1">E28/E27</f>
        <v>6.1412091713044618E-2</v>
      </c>
      <c r="F31" s="68">
        <f t="shared" si="1"/>
        <v>1.0077446518469002</v>
      </c>
      <c r="G31" s="66">
        <f t="shared" si="1"/>
        <v>0.5550239200894963</v>
      </c>
      <c r="H31" s="67">
        <f t="shared" si="1"/>
        <v>0.12150881043688423</v>
      </c>
      <c r="I31" s="68">
        <f t="shared" si="1"/>
        <v>1.1306866970587852</v>
      </c>
      <c r="J31" s="66">
        <f t="shared" si="1"/>
        <v>0.70903111459646284</v>
      </c>
      <c r="K31" s="66">
        <f t="shared" si="1"/>
        <v>0.18033196893815082</v>
      </c>
      <c r="L31" s="108"/>
      <c r="M31" s="109"/>
      <c r="N31" s="8"/>
      <c r="O31" s="102"/>
      <c r="P31" s="102"/>
      <c r="Q31" s="102"/>
      <c r="R31" s="8"/>
      <c r="S31" s="1"/>
    </row>
    <row r="32" spans="2:19" ht="15.75" customHeight="1"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1"/>
    </row>
    <row r="33" spans="2:1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2:1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2:1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2:1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2:1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2:1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2:1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2:1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2:1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2:1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2:1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2:1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2:1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2:1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2:1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2:1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21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4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spans="1:19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spans="1:19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spans="1:1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spans="1:19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spans="1:19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spans="1:19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spans="1:19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spans="1:19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spans="1:19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spans="1:19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spans="1:19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spans="1:19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spans="1:1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spans="1:19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spans="1:19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spans="1:19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spans="1:19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spans="1:19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spans="1:19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spans="1:19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spans="1:19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spans="1:19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spans="1: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spans="1:19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spans="1:19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spans="1:19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spans="1:19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spans="1:19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spans="1:19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spans="1:19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spans="1:19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spans="1:19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spans="1:1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spans="1:19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spans="1:19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spans="1:19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spans="1:19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spans="1:19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spans="1:19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spans="1:19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spans="1:19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spans="1:19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spans="1:1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spans="1:19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spans="1:19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spans="1:19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spans="1:19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spans="1:19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spans="1:19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spans="1:19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spans="1:19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spans="1:19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spans="1:1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spans="1:19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spans="1:19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spans="1:19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spans="1:19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spans="1:19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spans="1:19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spans="1:19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spans="1:19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spans="1:19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spans="1:1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spans="1:19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spans="1:19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spans="1:19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spans="1:19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spans="1:19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spans="1:19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spans="1:19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spans="1:19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spans="1:19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spans="1:1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spans="1:19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spans="1:19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spans="1:19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spans="1:19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spans="1:19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spans="1:19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spans="1:19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spans="1:19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spans="1:19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spans="1:1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spans="1:19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spans="1:19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spans="1:19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spans="1:19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spans="1:19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spans="1:19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spans="1:19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spans="1:19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spans="1:19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spans="1:1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spans="1:19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spans="1:19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spans="1:19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spans="1:19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spans="1:19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spans="1:19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spans="1:19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spans="1:19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spans="1:19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spans="1:1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spans="1:19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spans="1:19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spans="1:19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spans="1:19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spans="1:19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spans="1:19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spans="1:19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spans="1:19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spans="1:19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spans="1:1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spans="1:19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spans="1:19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spans="1:19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spans="1:19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spans="1:19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spans="1:19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spans="1:19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spans="1:19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spans="1:19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spans="1: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spans="1:19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spans="1:19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spans="1:19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spans="1:19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spans="1:19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spans="1:19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spans="1:19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spans="1:19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spans="1:19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spans="1:1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spans="1:19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spans="1:19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spans="1:19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spans="1:19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spans="1:19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spans="1:19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spans="1:19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spans="1:19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spans="1:19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1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19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19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19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19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19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19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19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19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19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1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19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19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19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</sheetData>
  <mergeCells count="40">
    <mergeCell ref="C26:K26"/>
    <mergeCell ref="O30:Q30"/>
    <mergeCell ref="O31:Q31"/>
    <mergeCell ref="L27:M27"/>
    <mergeCell ref="L28:M28"/>
    <mergeCell ref="C30:E30"/>
    <mergeCell ref="F30:H30"/>
    <mergeCell ref="I30:K30"/>
    <mergeCell ref="L30:M30"/>
    <mergeCell ref="L31:M31"/>
    <mergeCell ref="M3:P3"/>
    <mergeCell ref="M6:O6"/>
    <mergeCell ref="F16:H16"/>
    <mergeCell ref="I16:K16"/>
    <mergeCell ref="F15:H15"/>
    <mergeCell ref="I15:K15"/>
    <mergeCell ref="F10:H10"/>
    <mergeCell ref="I10:K10"/>
    <mergeCell ref="C12:K12"/>
    <mergeCell ref="I3:K3"/>
    <mergeCell ref="C3:E3"/>
    <mergeCell ref="B3:B4"/>
    <mergeCell ref="F3:H3"/>
    <mergeCell ref="C5:K5"/>
    <mergeCell ref="C7:K7"/>
    <mergeCell ref="M8:O8"/>
    <mergeCell ref="B24:B25"/>
    <mergeCell ref="M22:O22"/>
    <mergeCell ref="M13:O13"/>
    <mergeCell ref="C16:E16"/>
    <mergeCell ref="C15:E15"/>
    <mergeCell ref="B10:B11"/>
    <mergeCell ref="C10:E10"/>
    <mergeCell ref="F18:H18"/>
    <mergeCell ref="C17:K17"/>
    <mergeCell ref="C18:E18"/>
    <mergeCell ref="I18:K18"/>
    <mergeCell ref="I24:K24"/>
    <mergeCell ref="C24:E24"/>
    <mergeCell ref="F24:H24"/>
  </mergeCells>
  <printOptions horizontalCentered="1" verticalCentered="1"/>
  <pageMargins left="0.25" right="0.25" top="0.25" bottom="0.25" header="0" footer="0"/>
  <pageSetup scale="9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Budget Shop4Me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Sara Joinis</cp:lastModifiedBy>
  <dcterms:created xsi:type="dcterms:W3CDTF">2016-02-17T05:52:24Z</dcterms:created>
  <dcterms:modified xsi:type="dcterms:W3CDTF">2025-03-28T16:03:36Z</dcterms:modified>
</cp:coreProperties>
</file>